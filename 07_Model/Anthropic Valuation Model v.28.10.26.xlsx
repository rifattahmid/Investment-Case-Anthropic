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xr:revisionPtr revIDLastSave="0" documentId="8_{4664D1AC-BCFC-4DBD-876B-FE0CB360DEED}" xr6:coauthVersionLast="47" xr6:coauthVersionMax="47" xr10:uidLastSave="{00000000-0000-0000-0000-000000000000}"/>
  <bookViews>
    <workbookView xWindow="-41388" yWindow="-1356" windowWidth="41496" windowHeight="16776" xr2:uid="{2C252E95-A23C-4B0D-9E90-AAF4D1120500}"/>
  </bookViews>
  <sheets>
    <sheet name="Exec Summary" sheetId="1" r:id="rId1"/>
    <sheet name="Dashboard" sheetId="2" r:id="rId2"/>
    <sheet name="Graphs" sheetId="15" r:id="rId3"/>
    <sheet name="DCF Base" sheetId="3" r:id="rId4"/>
    <sheet name="DCF Bear" sheetId="11" r:id="rId5"/>
    <sheet name="DCF Bull" sheetId="12" r:id="rId6"/>
    <sheet name="Drivers" sheetId="6" r:id="rId7"/>
    <sheet name="WACC" sheetId="7" r:id="rId8"/>
    <sheet name="Commitments" sheetId="14" r:id="rId9"/>
    <sheet name="Ratios" sheetId="13" r:id="rId10"/>
    <sheet name="Comps" sheetId="8" r:id="rId11"/>
    <sheet name="Actuals" sheetId="9" r:id="rId12"/>
    <sheet name="Historicals" sheetId="10"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6" i="14" l="1"/>
  <c r="G31" i="1"/>
  <c r="U5" i="15"/>
  <c r="V8" i="15"/>
  <c r="W8" i="15"/>
  <c r="AB8" i="15"/>
  <c r="AD8" i="15"/>
  <c r="AE8" i="15"/>
  <c r="AJ8" i="15"/>
  <c r="AK8" i="15"/>
  <c r="V9" i="15"/>
  <c r="AD9" i="15"/>
  <c r="AE9" i="15"/>
  <c r="AJ9" i="15"/>
  <c r="AK9" i="15"/>
  <c r="V10" i="15"/>
  <c r="AD10" i="15"/>
  <c r="AE10" i="15"/>
  <c r="AJ10" i="15"/>
  <c r="AK10" i="15"/>
  <c r="V11" i="15"/>
  <c r="AD11" i="15"/>
  <c r="AE11" i="15"/>
  <c r="AJ11" i="15"/>
  <c r="AK11" i="15"/>
  <c r="V12" i="15"/>
  <c r="AD12" i="15"/>
  <c r="AE12" i="15"/>
  <c r="AJ12" i="15"/>
  <c r="AK12" i="15"/>
  <c r="V13" i="15"/>
  <c r="AD13" i="15"/>
  <c r="AE13" i="15"/>
  <c r="AJ13" i="15"/>
  <c r="AK13" i="15"/>
  <c r="V14" i="15"/>
  <c r="W14" i="15"/>
  <c r="AD14" i="15"/>
  <c r="AE14" i="15"/>
  <c r="V15" i="15"/>
  <c r="AD15" i="15"/>
  <c r="AE15" i="15"/>
  <c r="AJ15" i="15"/>
  <c r="AK15" i="15"/>
  <c r="V16" i="15"/>
  <c r="AI16" i="15" s="1"/>
  <c r="AD16" i="15"/>
  <c r="AE16" i="15"/>
  <c r="AJ16" i="15"/>
  <c r="AK16" i="15"/>
  <c r="V17" i="15"/>
  <c r="AD17" i="15"/>
  <c r="AE17" i="15"/>
  <c r="AJ17" i="15"/>
  <c r="AK17" i="15"/>
  <c r="V18" i="15"/>
  <c r="W18" i="15"/>
  <c r="AD18" i="15"/>
  <c r="AE18" i="15"/>
  <c r="V19" i="15"/>
  <c r="AD19" i="15"/>
  <c r="AE19" i="15"/>
  <c r="AJ19" i="15"/>
  <c r="AK19" i="15"/>
  <c r="V20" i="15"/>
  <c r="W20" i="15"/>
  <c r="AD20" i="15"/>
  <c r="AE20" i="15"/>
  <c r="B5" i="2"/>
  <c r="B15" i="7"/>
  <c r="B41" i="7"/>
  <c r="M30" i="8"/>
  <c r="M29" i="8"/>
  <c r="M28" i="8"/>
  <c r="M31" i="8" s="1"/>
  <c r="M27" i="8"/>
  <c r="M21" i="8"/>
  <c r="M20" i="8"/>
  <c r="M19" i="8"/>
  <c r="M18" i="8"/>
  <c r="M17" i="8"/>
  <c r="M11" i="8"/>
  <c r="M10" i="8"/>
  <c r="M9" i="8"/>
  <c r="M8" i="8"/>
  <c r="K40" i="8"/>
  <c r="N31" i="8"/>
  <c r="N22" i="8"/>
  <c r="N12" i="8"/>
  <c r="I30" i="8"/>
  <c r="F30" i="8"/>
  <c r="H30" i="8" s="1"/>
  <c r="I29" i="8"/>
  <c r="H29" i="8"/>
  <c r="F29" i="8"/>
  <c r="I28" i="8"/>
  <c r="F28" i="8"/>
  <c r="H28" i="8" s="1"/>
  <c r="I27" i="8"/>
  <c r="F27" i="8"/>
  <c r="H27" i="8" s="1"/>
  <c r="H31" i="8" s="1"/>
  <c r="I21" i="8"/>
  <c r="F21" i="8"/>
  <c r="H21" i="8" s="1"/>
  <c r="I20" i="8"/>
  <c r="F20" i="8"/>
  <c r="H20" i="8" s="1"/>
  <c r="I19" i="8"/>
  <c r="F19" i="8"/>
  <c r="H19" i="8" s="1"/>
  <c r="I18" i="8"/>
  <c r="F18" i="8"/>
  <c r="H18" i="8" s="1"/>
  <c r="H22" i="8" s="1"/>
  <c r="I17" i="8"/>
  <c r="H17" i="8"/>
  <c r="I11" i="8"/>
  <c r="H11" i="8"/>
  <c r="I10" i="8"/>
  <c r="F10" i="8"/>
  <c r="H10" i="8" s="1"/>
  <c r="I9" i="8"/>
  <c r="F9" i="8"/>
  <c r="H9" i="8" s="1"/>
  <c r="I8" i="8"/>
  <c r="F8" i="8"/>
  <c r="H8" i="8" s="1"/>
  <c r="U86" i="15"/>
  <c r="U87" i="15"/>
  <c r="U88" i="15"/>
  <c r="U89" i="15"/>
  <c r="U90" i="15"/>
  <c r="U91" i="15"/>
  <c r="U92" i="15"/>
  <c r="U93" i="15"/>
  <c r="U94" i="15"/>
  <c r="U95" i="15"/>
  <c r="U96" i="15"/>
  <c r="U97" i="15"/>
  <c r="U98" i="15"/>
  <c r="U99" i="15"/>
  <c r="U100" i="15"/>
  <c r="U79" i="15"/>
  <c r="W79" i="15"/>
  <c r="U80" i="15"/>
  <c r="W80" i="15"/>
  <c r="U81" i="15"/>
  <c r="W81" i="15"/>
  <c r="W82" i="15"/>
  <c r="U60" i="15"/>
  <c r="V60" i="15"/>
  <c r="W60" i="15"/>
  <c r="U61" i="15"/>
  <c r="V61" i="15"/>
  <c r="W61" i="15"/>
  <c r="U62" i="15"/>
  <c r="V62" i="15"/>
  <c r="W62" i="15"/>
  <c r="U63" i="15"/>
  <c r="V63" i="15"/>
  <c r="W63" i="15"/>
  <c r="U64" i="15"/>
  <c r="V64" i="15"/>
  <c r="W64" i="15"/>
  <c r="U65" i="15"/>
  <c r="V65" i="15"/>
  <c r="W65" i="15"/>
  <c r="U66" i="15"/>
  <c r="V66" i="15"/>
  <c r="W66" i="15"/>
  <c r="U67" i="15"/>
  <c r="V67" i="15"/>
  <c r="W67" i="15"/>
  <c r="U68" i="15"/>
  <c r="V68" i="15"/>
  <c r="W68" i="15"/>
  <c r="U69" i="15"/>
  <c r="V69" i="15"/>
  <c r="W69" i="15"/>
  <c r="U70" i="15"/>
  <c r="V70" i="15"/>
  <c r="W70" i="15"/>
  <c r="U71" i="15"/>
  <c r="V71" i="15"/>
  <c r="W71" i="15"/>
  <c r="U72" i="15"/>
  <c r="V72" i="15"/>
  <c r="W72" i="15"/>
  <c r="U73" i="15"/>
  <c r="V73" i="15"/>
  <c r="W73" i="15"/>
  <c r="U74" i="15"/>
  <c r="V74" i="15"/>
  <c r="W74" i="15"/>
  <c r="U75" i="15"/>
  <c r="V75" i="15"/>
  <c r="W75" i="15"/>
  <c r="U39" i="15"/>
  <c r="V39" i="15"/>
  <c r="W39" i="15"/>
  <c r="X39" i="15"/>
  <c r="U40" i="15"/>
  <c r="V40" i="15"/>
  <c r="W40" i="15"/>
  <c r="X40" i="15"/>
  <c r="U41" i="15"/>
  <c r="V41" i="15"/>
  <c r="W41" i="15"/>
  <c r="X41" i="15"/>
  <c r="U42" i="15"/>
  <c r="V42" i="15"/>
  <c r="W42" i="15"/>
  <c r="X42" i="15"/>
  <c r="U43" i="15"/>
  <c r="V43" i="15"/>
  <c r="W43" i="15"/>
  <c r="X43" i="15"/>
  <c r="U44" i="15"/>
  <c r="V44" i="15"/>
  <c r="W44" i="15"/>
  <c r="X44" i="15"/>
  <c r="U45" i="15"/>
  <c r="V45" i="15"/>
  <c r="W45" i="15"/>
  <c r="X45" i="15"/>
  <c r="U46" i="15"/>
  <c r="V46" i="15"/>
  <c r="W46" i="15"/>
  <c r="X46" i="15"/>
  <c r="U47" i="15"/>
  <c r="V47" i="15"/>
  <c r="W47" i="15"/>
  <c r="X47" i="15"/>
  <c r="U48" i="15"/>
  <c r="V48" i="15"/>
  <c r="W48" i="15"/>
  <c r="X48" i="15"/>
  <c r="U49" i="15"/>
  <c r="V49" i="15"/>
  <c r="W49" i="15"/>
  <c r="X49" i="15"/>
  <c r="U50" i="15"/>
  <c r="V50" i="15"/>
  <c r="W50" i="15"/>
  <c r="X50" i="15"/>
  <c r="U51" i="15"/>
  <c r="V51" i="15"/>
  <c r="W51" i="15"/>
  <c r="X51" i="15"/>
  <c r="U52" i="15"/>
  <c r="V52" i="15"/>
  <c r="W52" i="15"/>
  <c r="X52" i="15"/>
  <c r="U53" i="15"/>
  <c r="V53" i="15"/>
  <c r="W53" i="15"/>
  <c r="X53" i="15"/>
  <c r="U54" i="15"/>
  <c r="V54" i="15"/>
  <c r="W54" i="15"/>
  <c r="X54" i="15"/>
  <c r="U55" i="15"/>
  <c r="V55" i="15"/>
  <c r="W55" i="15"/>
  <c r="X55" i="15"/>
  <c r="U56" i="15"/>
  <c r="V56" i="15"/>
  <c r="W56" i="15"/>
  <c r="X56" i="15"/>
  <c r="U24" i="15"/>
  <c r="V24" i="15"/>
  <c r="W24" i="15"/>
  <c r="X24" i="15"/>
  <c r="Y24" i="15"/>
  <c r="Z24" i="15"/>
  <c r="U25" i="15"/>
  <c r="V25" i="15"/>
  <c r="W25" i="15"/>
  <c r="X25" i="15"/>
  <c r="Y25" i="15"/>
  <c r="Z25" i="15"/>
  <c r="U26" i="15"/>
  <c r="V26" i="15"/>
  <c r="W26" i="15"/>
  <c r="X26" i="15"/>
  <c r="Y26" i="15"/>
  <c r="Z26" i="15"/>
  <c r="U27" i="15"/>
  <c r="V27" i="15"/>
  <c r="W27" i="15"/>
  <c r="X27" i="15"/>
  <c r="Y27" i="15"/>
  <c r="Z27" i="15"/>
  <c r="U28" i="15"/>
  <c r="V28" i="15"/>
  <c r="W28" i="15"/>
  <c r="X28" i="15"/>
  <c r="Y28" i="15"/>
  <c r="Z28" i="15"/>
  <c r="U29" i="15"/>
  <c r="V29" i="15"/>
  <c r="W29" i="15"/>
  <c r="X29" i="15"/>
  <c r="Y29" i="15"/>
  <c r="Z29" i="15"/>
  <c r="U30" i="15"/>
  <c r="V30" i="15"/>
  <c r="W30" i="15"/>
  <c r="X30" i="15"/>
  <c r="Y30" i="15"/>
  <c r="Z30" i="15"/>
  <c r="U31" i="15"/>
  <c r="V31" i="15"/>
  <c r="W31" i="15"/>
  <c r="X31" i="15"/>
  <c r="Y31" i="15"/>
  <c r="Z31" i="15"/>
  <c r="U32" i="15"/>
  <c r="V32" i="15"/>
  <c r="W32" i="15"/>
  <c r="X32" i="15"/>
  <c r="Y32" i="15"/>
  <c r="Z32" i="15"/>
  <c r="U33" i="15"/>
  <c r="V33" i="15"/>
  <c r="W33" i="15"/>
  <c r="X33" i="15"/>
  <c r="Y33" i="15"/>
  <c r="Z33" i="15"/>
  <c r="U34" i="15"/>
  <c r="V34" i="15"/>
  <c r="W34" i="15"/>
  <c r="X34" i="15"/>
  <c r="Y34" i="15"/>
  <c r="Z34" i="15"/>
  <c r="U35" i="15"/>
  <c r="V35" i="15"/>
  <c r="W35" i="15"/>
  <c r="X35" i="15"/>
  <c r="Y35" i="15"/>
  <c r="Z35" i="15"/>
  <c r="C38" i="14"/>
  <c r="D38" i="14"/>
  <c r="E38" i="14"/>
  <c r="F38" i="14"/>
  <c r="G38" i="14"/>
  <c r="C33" i="14"/>
  <c r="D33" i="14"/>
  <c r="E33" i="14"/>
  <c r="F33" i="14"/>
  <c r="G33" i="14"/>
  <c r="H33" i="14"/>
  <c r="C32" i="14"/>
  <c r="D32" i="14"/>
  <c r="E32" i="14"/>
  <c r="F32" i="14"/>
  <c r="G32" i="14"/>
  <c r="H32" i="14"/>
  <c r="B28" i="14"/>
  <c r="B27" i="14"/>
  <c r="C27" i="14"/>
  <c r="C10" i="14"/>
  <c r="C34" i="14" s="1"/>
  <c r="D10" i="14"/>
  <c r="D34" i="14" s="1"/>
  <c r="E10" i="14"/>
  <c r="E34" i="14" s="1"/>
  <c r="F10" i="14"/>
  <c r="F34" i="14" s="1"/>
  <c r="G10" i="14"/>
  <c r="G34" i="14" s="1"/>
  <c r="H10" i="14"/>
  <c r="H34" i="14" s="1"/>
  <c r="B9" i="14"/>
  <c r="B8" i="14"/>
  <c r="B7" i="14"/>
  <c r="B10" i="14" s="1"/>
  <c r="B71" i="13"/>
  <c r="C71" i="13"/>
  <c r="D71" i="13"/>
  <c r="B70" i="13"/>
  <c r="C70" i="13"/>
  <c r="D70" i="13"/>
  <c r="E70" i="13"/>
  <c r="F70" i="13"/>
  <c r="G70" i="13"/>
  <c r="H70" i="13"/>
  <c r="I70" i="13"/>
  <c r="J70" i="13"/>
  <c r="K70" i="13"/>
  <c r="L70" i="13"/>
  <c r="M70" i="13"/>
  <c r="N70" i="13"/>
  <c r="O70" i="13"/>
  <c r="P70" i="13"/>
  <c r="Q70" i="13"/>
  <c r="R70" i="13"/>
  <c r="S70" i="13"/>
  <c r="B69" i="13"/>
  <c r="C69" i="13"/>
  <c r="D69" i="13"/>
  <c r="E69" i="13"/>
  <c r="F69" i="13"/>
  <c r="G69" i="13"/>
  <c r="H69" i="13"/>
  <c r="I69" i="13"/>
  <c r="J69" i="13"/>
  <c r="K69" i="13"/>
  <c r="L69" i="13"/>
  <c r="M69" i="13"/>
  <c r="N69" i="13"/>
  <c r="O69" i="13"/>
  <c r="P69" i="13"/>
  <c r="Q69" i="13"/>
  <c r="R69" i="13"/>
  <c r="S69" i="13"/>
  <c r="B68" i="13"/>
  <c r="C68" i="13"/>
  <c r="D68" i="13"/>
  <c r="E68" i="13"/>
  <c r="F68" i="13"/>
  <c r="G68" i="13"/>
  <c r="H68" i="13"/>
  <c r="I68" i="13"/>
  <c r="J68" i="13"/>
  <c r="K68" i="13"/>
  <c r="L68" i="13"/>
  <c r="M68" i="13"/>
  <c r="N68" i="13"/>
  <c r="O68" i="13"/>
  <c r="P68" i="13"/>
  <c r="Q68" i="13"/>
  <c r="R68" i="13"/>
  <c r="S68" i="13"/>
  <c r="B67" i="13"/>
  <c r="C67" i="13"/>
  <c r="D67" i="13"/>
  <c r="E67" i="13"/>
  <c r="F67" i="13"/>
  <c r="G67" i="13"/>
  <c r="H67" i="13"/>
  <c r="I67" i="13"/>
  <c r="J67" i="13"/>
  <c r="K67" i="13"/>
  <c r="L67" i="13"/>
  <c r="M67" i="13"/>
  <c r="N67" i="13"/>
  <c r="O67" i="13"/>
  <c r="P67" i="13"/>
  <c r="Q67" i="13"/>
  <c r="R67" i="13"/>
  <c r="S67" i="13"/>
  <c r="B66" i="13"/>
  <c r="C66" i="13"/>
  <c r="D66" i="13"/>
  <c r="E66" i="13"/>
  <c r="F66" i="13"/>
  <c r="G66" i="13"/>
  <c r="H66" i="13"/>
  <c r="I66" i="13"/>
  <c r="J66" i="13"/>
  <c r="K66" i="13"/>
  <c r="L66" i="13"/>
  <c r="M66" i="13"/>
  <c r="N66" i="13"/>
  <c r="O66" i="13"/>
  <c r="P66" i="13"/>
  <c r="Q66" i="13"/>
  <c r="R66" i="13"/>
  <c r="S66" i="13"/>
  <c r="B65" i="13"/>
  <c r="C65" i="13"/>
  <c r="D65" i="13"/>
  <c r="B64" i="13"/>
  <c r="C64" i="13"/>
  <c r="D64" i="13"/>
  <c r="E64" i="13"/>
  <c r="F64" i="13"/>
  <c r="G64" i="13"/>
  <c r="H64" i="13"/>
  <c r="I64" i="13"/>
  <c r="J64" i="13"/>
  <c r="K64" i="13"/>
  <c r="L64" i="13"/>
  <c r="M64" i="13"/>
  <c r="N64" i="13"/>
  <c r="O64" i="13"/>
  <c r="P64" i="13"/>
  <c r="Q64" i="13"/>
  <c r="R64" i="13"/>
  <c r="S64" i="13"/>
  <c r="B63" i="13"/>
  <c r="C63" i="13"/>
  <c r="D63" i="13"/>
  <c r="E63" i="13"/>
  <c r="F63" i="13"/>
  <c r="G63" i="13"/>
  <c r="H63" i="13"/>
  <c r="I63" i="13"/>
  <c r="J63" i="13"/>
  <c r="K63" i="13"/>
  <c r="L63" i="13"/>
  <c r="M63" i="13"/>
  <c r="N63" i="13"/>
  <c r="O63" i="13"/>
  <c r="P63" i="13"/>
  <c r="Q63" i="13"/>
  <c r="R63" i="13"/>
  <c r="S63" i="13"/>
  <c r="B62" i="13"/>
  <c r="C62" i="13"/>
  <c r="D62" i="13"/>
  <c r="E62" i="13"/>
  <c r="F62" i="13"/>
  <c r="G62" i="13"/>
  <c r="H62" i="13"/>
  <c r="I62" i="13"/>
  <c r="J62" i="13"/>
  <c r="K62" i="13"/>
  <c r="L62" i="13"/>
  <c r="M62" i="13"/>
  <c r="N62" i="13"/>
  <c r="O62" i="13"/>
  <c r="P62" i="13"/>
  <c r="Q62" i="13"/>
  <c r="R62" i="13"/>
  <c r="S62" i="13"/>
  <c r="B61" i="13"/>
  <c r="C61" i="13"/>
  <c r="D61" i="13"/>
  <c r="E61" i="13"/>
  <c r="F61" i="13"/>
  <c r="G61" i="13"/>
  <c r="H61" i="13"/>
  <c r="I61" i="13"/>
  <c r="J61" i="13"/>
  <c r="K61" i="13"/>
  <c r="L61" i="13"/>
  <c r="M61" i="13"/>
  <c r="N61" i="13"/>
  <c r="O61" i="13"/>
  <c r="P61" i="13"/>
  <c r="Q61" i="13"/>
  <c r="R61" i="13"/>
  <c r="S61" i="13"/>
  <c r="B60" i="13"/>
  <c r="C60" i="13"/>
  <c r="D60" i="13"/>
  <c r="E60" i="13"/>
  <c r="F60" i="13"/>
  <c r="G60" i="13"/>
  <c r="H60" i="13"/>
  <c r="I60" i="13"/>
  <c r="J60" i="13"/>
  <c r="K60" i="13"/>
  <c r="L60" i="13"/>
  <c r="M60" i="13"/>
  <c r="N60" i="13"/>
  <c r="O60" i="13"/>
  <c r="P60" i="13"/>
  <c r="Q60" i="13"/>
  <c r="R60" i="13"/>
  <c r="S60" i="13"/>
  <c r="B59" i="13"/>
  <c r="C59" i="13"/>
  <c r="D59" i="13"/>
  <c r="E59" i="13"/>
  <c r="F59" i="13"/>
  <c r="G59" i="13"/>
  <c r="H59" i="13"/>
  <c r="I59" i="13"/>
  <c r="J59" i="13"/>
  <c r="K59" i="13"/>
  <c r="L59" i="13"/>
  <c r="M59" i="13"/>
  <c r="N59" i="13"/>
  <c r="O59" i="13"/>
  <c r="P59" i="13"/>
  <c r="Q59" i="13"/>
  <c r="R59" i="13"/>
  <c r="S59" i="13"/>
  <c r="B55" i="13"/>
  <c r="C55" i="13"/>
  <c r="D55" i="13"/>
  <c r="E55" i="13"/>
  <c r="F55" i="13"/>
  <c r="G55" i="13"/>
  <c r="H55" i="13"/>
  <c r="I55" i="13"/>
  <c r="J55" i="13"/>
  <c r="B54" i="13"/>
  <c r="C54" i="13"/>
  <c r="D54" i="13"/>
  <c r="E54" i="13"/>
  <c r="F54" i="13"/>
  <c r="G54" i="13"/>
  <c r="H54" i="13"/>
  <c r="I54" i="13"/>
  <c r="J54" i="13"/>
  <c r="B53" i="13"/>
  <c r="C53" i="13"/>
  <c r="D53" i="13"/>
  <c r="E53" i="13"/>
  <c r="F53" i="13"/>
  <c r="G53" i="13"/>
  <c r="H53" i="13"/>
  <c r="I53" i="13"/>
  <c r="J53" i="13"/>
  <c r="B52" i="13"/>
  <c r="C52" i="13"/>
  <c r="D52" i="13"/>
  <c r="E52" i="13"/>
  <c r="F52" i="13"/>
  <c r="G52" i="13"/>
  <c r="H52" i="13"/>
  <c r="I52" i="13"/>
  <c r="J52" i="13"/>
  <c r="B51" i="13"/>
  <c r="C51" i="13"/>
  <c r="D51" i="13"/>
  <c r="E51" i="13"/>
  <c r="F51" i="13"/>
  <c r="G51" i="13"/>
  <c r="H51" i="13"/>
  <c r="I51" i="13"/>
  <c r="J51" i="13"/>
  <c r="B50" i="13"/>
  <c r="C50" i="13"/>
  <c r="D50" i="13"/>
  <c r="E50" i="13"/>
  <c r="F50" i="13"/>
  <c r="G50" i="13"/>
  <c r="H50" i="13"/>
  <c r="I50" i="13"/>
  <c r="J50" i="13"/>
  <c r="B49" i="13"/>
  <c r="C49" i="13"/>
  <c r="D49" i="13"/>
  <c r="E49" i="13"/>
  <c r="F49" i="13"/>
  <c r="G49" i="13"/>
  <c r="H49" i="13"/>
  <c r="I49" i="13"/>
  <c r="J49" i="13"/>
  <c r="B48" i="13"/>
  <c r="C48" i="13"/>
  <c r="D48" i="13"/>
  <c r="E48" i="13"/>
  <c r="F48" i="13"/>
  <c r="G48" i="13"/>
  <c r="H48" i="13"/>
  <c r="I48" i="13"/>
  <c r="J48" i="13"/>
  <c r="B47" i="13"/>
  <c r="C47" i="13"/>
  <c r="D47" i="13"/>
  <c r="E47" i="13"/>
  <c r="F47" i="13"/>
  <c r="G47" i="13"/>
  <c r="H47" i="13"/>
  <c r="I47" i="13"/>
  <c r="J47" i="13"/>
  <c r="B43" i="13"/>
  <c r="C43" i="13"/>
  <c r="D43" i="13"/>
  <c r="E43" i="13"/>
  <c r="F43" i="13"/>
  <c r="G43" i="13"/>
  <c r="H43" i="13"/>
  <c r="I43" i="13"/>
  <c r="J43" i="13"/>
  <c r="K43" i="13"/>
  <c r="B42" i="13"/>
  <c r="C42" i="13"/>
  <c r="D42" i="13"/>
  <c r="E42" i="13"/>
  <c r="F42" i="13"/>
  <c r="G42" i="13"/>
  <c r="H42" i="13"/>
  <c r="I42" i="13"/>
  <c r="J42" i="13"/>
  <c r="K42" i="13"/>
  <c r="B41" i="13"/>
  <c r="C41" i="13"/>
  <c r="D41" i="13"/>
  <c r="E41" i="13"/>
  <c r="F41" i="13"/>
  <c r="G41" i="13"/>
  <c r="H41" i="13"/>
  <c r="I41" i="13"/>
  <c r="J41" i="13"/>
  <c r="K41" i="13"/>
  <c r="B40" i="13"/>
  <c r="C40" i="13"/>
  <c r="D40" i="13"/>
  <c r="E40" i="13"/>
  <c r="F40" i="13"/>
  <c r="G40" i="13"/>
  <c r="H40" i="13"/>
  <c r="I40" i="13"/>
  <c r="J40" i="13"/>
  <c r="K40" i="13"/>
  <c r="B39" i="13"/>
  <c r="C39" i="13"/>
  <c r="D39" i="13"/>
  <c r="E39" i="13"/>
  <c r="F39" i="13"/>
  <c r="G39" i="13"/>
  <c r="H39" i="13"/>
  <c r="I39" i="13"/>
  <c r="J39" i="13"/>
  <c r="K39" i="13"/>
  <c r="B38" i="13"/>
  <c r="C38" i="13"/>
  <c r="D38" i="13"/>
  <c r="E38" i="13"/>
  <c r="F38" i="13"/>
  <c r="G38" i="13"/>
  <c r="H38" i="13"/>
  <c r="I38" i="13"/>
  <c r="J38" i="13"/>
  <c r="K38" i="13"/>
  <c r="B37" i="13"/>
  <c r="C37" i="13"/>
  <c r="D37" i="13"/>
  <c r="E37" i="13"/>
  <c r="F37" i="13"/>
  <c r="G37" i="13"/>
  <c r="H37" i="13"/>
  <c r="I37" i="13"/>
  <c r="J37" i="13"/>
  <c r="K37" i="13"/>
  <c r="B36" i="13"/>
  <c r="C36" i="13"/>
  <c r="D36" i="13"/>
  <c r="E36" i="13"/>
  <c r="F36" i="13"/>
  <c r="G36" i="13"/>
  <c r="H36" i="13"/>
  <c r="I36" i="13"/>
  <c r="J36" i="13"/>
  <c r="K36" i="13"/>
  <c r="B35" i="13"/>
  <c r="C35" i="13"/>
  <c r="D35" i="13"/>
  <c r="E35" i="13"/>
  <c r="F35" i="13"/>
  <c r="G35" i="13"/>
  <c r="H35" i="13"/>
  <c r="I35" i="13"/>
  <c r="J35" i="13"/>
  <c r="K35" i="13"/>
  <c r="B34" i="13"/>
  <c r="C34" i="13"/>
  <c r="D34" i="13"/>
  <c r="E34" i="13"/>
  <c r="F34" i="13"/>
  <c r="G34" i="13"/>
  <c r="H34" i="13"/>
  <c r="I34" i="13"/>
  <c r="J34" i="13"/>
  <c r="K34" i="13"/>
  <c r="B33" i="13"/>
  <c r="C33" i="13"/>
  <c r="D33" i="13"/>
  <c r="E33" i="13"/>
  <c r="F33" i="13"/>
  <c r="G33" i="13"/>
  <c r="H33" i="13"/>
  <c r="I33" i="13"/>
  <c r="J33" i="13"/>
  <c r="K33" i="13"/>
  <c r="B32" i="13"/>
  <c r="C32" i="13"/>
  <c r="D32" i="13"/>
  <c r="E32" i="13"/>
  <c r="F32" i="13"/>
  <c r="G32" i="13"/>
  <c r="H32" i="13"/>
  <c r="I32" i="13"/>
  <c r="J32" i="13"/>
  <c r="K32" i="13"/>
  <c r="B31" i="13"/>
  <c r="C31" i="13"/>
  <c r="D31" i="13"/>
  <c r="E31" i="13"/>
  <c r="F31" i="13"/>
  <c r="G31" i="13"/>
  <c r="H31" i="13"/>
  <c r="I31" i="13"/>
  <c r="J31" i="13"/>
  <c r="K31" i="13"/>
  <c r="B30" i="13"/>
  <c r="C30" i="13"/>
  <c r="D30" i="13"/>
  <c r="E30" i="13"/>
  <c r="F30" i="13"/>
  <c r="G30" i="13"/>
  <c r="H30" i="13"/>
  <c r="I30" i="13"/>
  <c r="J30" i="13"/>
  <c r="K30" i="13"/>
  <c r="B29" i="13"/>
  <c r="C29" i="13"/>
  <c r="D29" i="13"/>
  <c r="E29" i="13"/>
  <c r="F29" i="13"/>
  <c r="G29" i="13"/>
  <c r="H29" i="13"/>
  <c r="I29" i="13"/>
  <c r="J29" i="13"/>
  <c r="K29" i="13"/>
  <c r="B28" i="13"/>
  <c r="C28" i="13"/>
  <c r="D28" i="13"/>
  <c r="E28" i="13"/>
  <c r="F28" i="13"/>
  <c r="G28" i="13"/>
  <c r="H28" i="13"/>
  <c r="I28" i="13"/>
  <c r="J28" i="13"/>
  <c r="K28" i="13"/>
  <c r="B24" i="13"/>
  <c r="C24" i="13"/>
  <c r="D24" i="13"/>
  <c r="E24" i="13"/>
  <c r="F24" i="13"/>
  <c r="G24" i="13"/>
  <c r="H24" i="13"/>
  <c r="I24" i="13"/>
  <c r="J24" i="13"/>
  <c r="K24" i="13"/>
  <c r="L24" i="13"/>
  <c r="M24" i="13"/>
  <c r="B23" i="13"/>
  <c r="C23" i="13"/>
  <c r="D23" i="13"/>
  <c r="E23" i="13"/>
  <c r="F23" i="13"/>
  <c r="G23" i="13"/>
  <c r="H23" i="13"/>
  <c r="I23" i="13"/>
  <c r="J23" i="13"/>
  <c r="K23" i="13"/>
  <c r="L23" i="13"/>
  <c r="M23" i="13"/>
  <c r="B22" i="13"/>
  <c r="C22" i="13"/>
  <c r="D22" i="13"/>
  <c r="E22" i="13"/>
  <c r="F22" i="13"/>
  <c r="G22" i="13"/>
  <c r="H22" i="13"/>
  <c r="I22" i="13"/>
  <c r="J22" i="13"/>
  <c r="K22" i="13"/>
  <c r="L22" i="13"/>
  <c r="M22" i="13"/>
  <c r="B21" i="13"/>
  <c r="C21" i="13"/>
  <c r="D21" i="13"/>
  <c r="E21" i="13"/>
  <c r="F21" i="13"/>
  <c r="G21" i="13"/>
  <c r="H21" i="13"/>
  <c r="I21" i="13"/>
  <c r="J21" i="13"/>
  <c r="K21" i="13"/>
  <c r="L21" i="13"/>
  <c r="M21" i="13"/>
  <c r="B20" i="13"/>
  <c r="C20" i="13"/>
  <c r="D20" i="13"/>
  <c r="E20" i="13"/>
  <c r="F20" i="13"/>
  <c r="G20" i="13"/>
  <c r="H20" i="13"/>
  <c r="I20" i="13"/>
  <c r="J20" i="13"/>
  <c r="K20" i="13"/>
  <c r="L20" i="13"/>
  <c r="M20" i="13"/>
  <c r="B19" i="13"/>
  <c r="C19" i="13"/>
  <c r="D19" i="13"/>
  <c r="E19" i="13"/>
  <c r="F19" i="13"/>
  <c r="G19" i="13"/>
  <c r="H19" i="13"/>
  <c r="I19" i="13"/>
  <c r="J19" i="13"/>
  <c r="K19" i="13"/>
  <c r="L19" i="13"/>
  <c r="M19" i="13"/>
  <c r="B18" i="13"/>
  <c r="C18" i="13"/>
  <c r="D18" i="13"/>
  <c r="E18" i="13"/>
  <c r="F18" i="13"/>
  <c r="G18" i="13"/>
  <c r="H18" i="13"/>
  <c r="I18" i="13"/>
  <c r="J18" i="13"/>
  <c r="K18" i="13"/>
  <c r="L18" i="13"/>
  <c r="M18" i="13"/>
  <c r="B17" i="13"/>
  <c r="C17" i="13"/>
  <c r="D17" i="13"/>
  <c r="E17" i="13"/>
  <c r="F17" i="13"/>
  <c r="G17" i="13"/>
  <c r="H17" i="13"/>
  <c r="I17" i="13"/>
  <c r="J17" i="13"/>
  <c r="K17" i="13"/>
  <c r="L17" i="13"/>
  <c r="M17" i="13"/>
  <c r="B16" i="13"/>
  <c r="C16" i="13"/>
  <c r="D16" i="13"/>
  <c r="E16" i="13"/>
  <c r="F16" i="13"/>
  <c r="G16" i="13"/>
  <c r="H16" i="13"/>
  <c r="I16" i="13"/>
  <c r="J16" i="13"/>
  <c r="K16" i="13"/>
  <c r="L16" i="13"/>
  <c r="M16" i="13"/>
  <c r="B15" i="13"/>
  <c r="C15" i="13"/>
  <c r="D15" i="13"/>
  <c r="E15" i="13"/>
  <c r="F15" i="13"/>
  <c r="G15" i="13"/>
  <c r="H15" i="13"/>
  <c r="I15" i="13"/>
  <c r="J15" i="13"/>
  <c r="K15" i="13"/>
  <c r="L15" i="13"/>
  <c r="M15" i="13"/>
  <c r="B14" i="13"/>
  <c r="C14" i="13"/>
  <c r="D14" i="13"/>
  <c r="E14" i="13"/>
  <c r="F14" i="13"/>
  <c r="G14" i="13"/>
  <c r="H14" i="13"/>
  <c r="I14" i="13"/>
  <c r="J14" i="13"/>
  <c r="K14" i="13"/>
  <c r="L14" i="13"/>
  <c r="M14" i="13"/>
  <c r="B13" i="13"/>
  <c r="C13" i="13"/>
  <c r="D13" i="13"/>
  <c r="E13" i="13"/>
  <c r="F13" i="13"/>
  <c r="G13" i="13"/>
  <c r="H13" i="13"/>
  <c r="I13" i="13"/>
  <c r="J13" i="13"/>
  <c r="K13" i="13"/>
  <c r="L13" i="13"/>
  <c r="M13" i="13"/>
  <c r="B12" i="13"/>
  <c r="C12" i="13"/>
  <c r="D12" i="13"/>
  <c r="E12" i="13"/>
  <c r="F12" i="13"/>
  <c r="G12" i="13"/>
  <c r="H12" i="13"/>
  <c r="I12" i="13"/>
  <c r="J12" i="13"/>
  <c r="K12" i="13"/>
  <c r="L12" i="13"/>
  <c r="M12" i="13"/>
  <c r="B11" i="13"/>
  <c r="C11" i="13"/>
  <c r="D11" i="13"/>
  <c r="E11" i="13"/>
  <c r="F11" i="13"/>
  <c r="G11" i="13"/>
  <c r="H11" i="13"/>
  <c r="I11" i="13"/>
  <c r="J11" i="13"/>
  <c r="K11" i="13"/>
  <c r="L11" i="13"/>
  <c r="M11" i="13"/>
  <c r="B10" i="13"/>
  <c r="C10" i="13"/>
  <c r="D10" i="13"/>
  <c r="E10" i="13"/>
  <c r="F10" i="13"/>
  <c r="G10" i="13"/>
  <c r="H10" i="13"/>
  <c r="I10" i="13"/>
  <c r="J10" i="13"/>
  <c r="K10" i="13"/>
  <c r="L10" i="13"/>
  <c r="M10" i="13"/>
  <c r="B9" i="13"/>
  <c r="C9" i="13"/>
  <c r="D9" i="13"/>
  <c r="E9" i="13"/>
  <c r="F9" i="13"/>
  <c r="G9" i="13"/>
  <c r="H9" i="13"/>
  <c r="I9" i="13"/>
  <c r="J9" i="13"/>
  <c r="K9" i="13"/>
  <c r="L9" i="13"/>
  <c r="M9" i="13"/>
  <c r="B8" i="13"/>
  <c r="C8" i="13"/>
  <c r="D8" i="13"/>
  <c r="E8" i="13"/>
  <c r="F8" i="13"/>
  <c r="G8" i="13"/>
  <c r="H8" i="13"/>
  <c r="I8" i="13"/>
  <c r="J8" i="13"/>
  <c r="K8" i="13"/>
  <c r="L8" i="13"/>
  <c r="M8" i="13"/>
  <c r="B7" i="13"/>
  <c r="C7" i="13"/>
  <c r="D7" i="13"/>
  <c r="E7" i="13"/>
  <c r="F7" i="13"/>
  <c r="G7" i="13"/>
  <c r="H7" i="13"/>
  <c r="I7" i="13"/>
  <c r="J7" i="13"/>
  <c r="K7" i="13"/>
  <c r="L7" i="13"/>
  <c r="M7" i="13"/>
  <c r="B58" i="13"/>
  <c r="C58" i="13"/>
  <c r="D58" i="13"/>
  <c r="E58" i="13"/>
  <c r="F58" i="13"/>
  <c r="G58" i="13"/>
  <c r="H58" i="13"/>
  <c r="I58" i="13"/>
  <c r="J58" i="13"/>
  <c r="K58" i="13"/>
  <c r="L58" i="13"/>
  <c r="M58" i="13"/>
  <c r="N58" i="13"/>
  <c r="O58" i="13"/>
  <c r="P58" i="13"/>
  <c r="Q58" i="13"/>
  <c r="R58" i="13"/>
  <c r="S58" i="13"/>
  <c r="B46" i="13"/>
  <c r="C46" i="13"/>
  <c r="D46" i="13"/>
  <c r="E46" i="13"/>
  <c r="F46" i="13"/>
  <c r="G46" i="13"/>
  <c r="H46" i="13"/>
  <c r="I46" i="13"/>
  <c r="J46" i="13"/>
  <c r="B27" i="13"/>
  <c r="C27" i="13"/>
  <c r="D27" i="13"/>
  <c r="E27" i="13"/>
  <c r="F27" i="13"/>
  <c r="G27" i="13"/>
  <c r="H27" i="13"/>
  <c r="I27" i="13"/>
  <c r="J27" i="13"/>
  <c r="K27" i="13"/>
  <c r="B6" i="13"/>
  <c r="C6" i="13"/>
  <c r="D6" i="13"/>
  <c r="E6" i="13"/>
  <c r="F6" i="13"/>
  <c r="G6" i="13"/>
  <c r="H6" i="13"/>
  <c r="I6" i="13"/>
  <c r="J6" i="13"/>
  <c r="K6" i="13"/>
  <c r="L6" i="13"/>
  <c r="M6" i="13"/>
  <c r="E23" i="6"/>
  <c r="B10" i="9"/>
  <c r="B11" i="9"/>
  <c r="B12" i="9"/>
  <c r="B45" i="1"/>
  <c r="B44" i="1"/>
  <c r="B43" i="1"/>
  <c r="B42" i="1"/>
  <c r="B41" i="1"/>
  <c r="B40" i="1"/>
  <c r="B39" i="1"/>
  <c r="B38" i="1"/>
  <c r="A7" i="1"/>
  <c r="A6" i="1"/>
  <c r="A5" i="1"/>
  <c r="A2" i="1"/>
  <c r="A46" i="2"/>
  <c r="A38" i="2"/>
  <c r="L31" i="8"/>
  <c r="G31" i="8"/>
  <c r="F31" i="8"/>
  <c r="C31" i="8"/>
  <c r="E30" i="8"/>
  <c r="K29" i="8"/>
  <c r="E29" i="8"/>
  <c r="J29" i="8" s="1"/>
  <c r="E28" i="8"/>
  <c r="I31" i="8"/>
  <c r="E27" i="8"/>
  <c r="K27" i="8" s="1"/>
  <c r="L22" i="8"/>
  <c r="G22" i="8"/>
  <c r="F22" i="8"/>
  <c r="C22" i="8"/>
  <c r="E21" i="8"/>
  <c r="E20" i="8"/>
  <c r="E19" i="8"/>
  <c r="E18" i="8"/>
  <c r="I22" i="8"/>
  <c r="E17" i="8"/>
  <c r="K17" i="8" s="1"/>
  <c r="L12" i="8"/>
  <c r="G12" i="8"/>
  <c r="F12" i="8"/>
  <c r="C12" i="8"/>
  <c r="E11" i="8"/>
  <c r="E10" i="8"/>
  <c r="I12" i="8"/>
  <c r="E9" i="8"/>
  <c r="E8" i="8"/>
  <c r="K8" i="8" s="1"/>
  <c r="C58" i="9"/>
  <c r="C57" i="9"/>
  <c r="C56" i="9"/>
  <c r="C55" i="9"/>
  <c r="C54" i="9"/>
  <c r="C53" i="9"/>
  <c r="C52" i="9"/>
  <c r="C48" i="9"/>
  <c r="C47" i="9"/>
  <c r="C46" i="9"/>
  <c r="C45" i="9"/>
  <c r="C44" i="9"/>
  <c r="C43" i="9"/>
  <c r="D31" i="9"/>
  <c r="C31" i="9"/>
  <c r="B31" i="9"/>
  <c r="D166" i="12"/>
  <c r="C166" i="12"/>
  <c r="B166" i="12"/>
  <c r="S146" i="12"/>
  <c r="R146" i="12"/>
  <c r="Q146" i="12"/>
  <c r="P146" i="12"/>
  <c r="O146" i="12"/>
  <c r="N146" i="12"/>
  <c r="M146" i="12"/>
  <c r="L146" i="12"/>
  <c r="K146" i="12"/>
  <c r="J146" i="12"/>
  <c r="I146" i="12"/>
  <c r="H146" i="12"/>
  <c r="G146" i="12"/>
  <c r="F146" i="12"/>
  <c r="D142" i="12"/>
  <c r="C142" i="12"/>
  <c r="B142" i="12"/>
  <c r="E124" i="12"/>
  <c r="D118" i="12"/>
  <c r="C118" i="12"/>
  <c r="B118" i="12"/>
  <c r="D114" i="12"/>
  <c r="C114" i="12"/>
  <c r="B114" i="12"/>
  <c r="S112" i="12"/>
  <c r="R112" i="12"/>
  <c r="Q112" i="12"/>
  <c r="P112" i="12"/>
  <c r="O112" i="12"/>
  <c r="N112" i="12"/>
  <c r="M112" i="12"/>
  <c r="L112" i="12"/>
  <c r="K112" i="12"/>
  <c r="J112" i="12"/>
  <c r="I112" i="12"/>
  <c r="H112" i="12"/>
  <c r="G112" i="12"/>
  <c r="F112" i="12"/>
  <c r="E112" i="12"/>
  <c r="D112" i="12"/>
  <c r="C112" i="12"/>
  <c r="B112" i="12"/>
  <c r="D108" i="12"/>
  <c r="C108" i="12"/>
  <c r="B108" i="12"/>
  <c r="D103" i="12"/>
  <c r="D111" i="12" s="1"/>
  <c r="C103" i="12"/>
  <c r="C111" i="12" s="1"/>
  <c r="B103" i="12"/>
  <c r="B111" i="12" s="1"/>
  <c r="D102" i="12"/>
  <c r="D110" i="12" s="1"/>
  <c r="C102" i="12"/>
  <c r="C110" i="12" s="1"/>
  <c r="B102" i="12"/>
  <c r="B110" i="12" s="1"/>
  <c r="D100" i="12"/>
  <c r="C100" i="12"/>
  <c r="B100" i="12"/>
  <c r="D99" i="12"/>
  <c r="C99" i="12"/>
  <c r="B99" i="12"/>
  <c r="E82" i="12"/>
  <c r="D78" i="12"/>
  <c r="C78" i="12"/>
  <c r="B78" i="12"/>
  <c r="D70" i="12"/>
  <c r="D69" i="12"/>
  <c r="C69" i="12"/>
  <c r="B69" i="12"/>
  <c r="D68" i="12"/>
  <c r="C68" i="12"/>
  <c r="B68" i="12"/>
  <c r="D65" i="12"/>
  <c r="C65" i="12"/>
  <c r="B65" i="12"/>
  <c r="B107" i="12" s="1"/>
  <c r="D64" i="12"/>
  <c r="D67" i="12" s="1"/>
  <c r="C64" i="12"/>
  <c r="C67" i="12" s="1"/>
  <c r="B64" i="12"/>
  <c r="B67" i="12" s="1"/>
  <c r="D63" i="12"/>
  <c r="C63" i="12"/>
  <c r="B63" i="12"/>
  <c r="E56" i="12"/>
  <c r="D56" i="12"/>
  <c r="C56" i="12"/>
  <c r="B56" i="12"/>
  <c r="E50" i="12"/>
  <c r="E49" i="12"/>
  <c r="E48" i="12"/>
  <c r="E47" i="12"/>
  <c r="E46" i="12"/>
  <c r="E45" i="12"/>
  <c r="E44" i="12"/>
  <c r="E43" i="12"/>
  <c r="E40" i="12"/>
  <c r="E52" i="12" s="1"/>
  <c r="E37" i="12"/>
  <c r="E36" i="12"/>
  <c r="E35" i="12"/>
  <c r="S34" i="12"/>
  <c r="R34" i="12"/>
  <c r="Q34" i="12"/>
  <c r="P34" i="12"/>
  <c r="O34" i="12"/>
  <c r="N34" i="12"/>
  <c r="M34" i="12"/>
  <c r="L34" i="12"/>
  <c r="K34" i="12"/>
  <c r="J34" i="12"/>
  <c r="I34" i="12"/>
  <c r="H34" i="12"/>
  <c r="G34" i="12"/>
  <c r="F34" i="12"/>
  <c r="E34" i="12"/>
  <c r="S33" i="12"/>
  <c r="R33" i="12"/>
  <c r="Q33" i="12"/>
  <c r="P33" i="12"/>
  <c r="O33" i="12"/>
  <c r="N33" i="12"/>
  <c r="M33" i="12"/>
  <c r="L33" i="12"/>
  <c r="K33" i="12"/>
  <c r="J33" i="12"/>
  <c r="I33" i="12"/>
  <c r="H33" i="12"/>
  <c r="G33" i="12"/>
  <c r="F33" i="12"/>
  <c r="E33" i="12"/>
  <c r="S32" i="12"/>
  <c r="R32" i="12"/>
  <c r="Q32" i="12"/>
  <c r="P32" i="12"/>
  <c r="O32" i="12"/>
  <c r="N32" i="12"/>
  <c r="M32" i="12"/>
  <c r="L32" i="12"/>
  <c r="K32" i="12"/>
  <c r="J32" i="12"/>
  <c r="I32" i="12"/>
  <c r="H32" i="12"/>
  <c r="G32" i="12"/>
  <c r="F32" i="12"/>
  <c r="E32" i="12"/>
  <c r="S31" i="12"/>
  <c r="R31" i="12"/>
  <c r="Q31" i="12"/>
  <c r="P31" i="12"/>
  <c r="O31" i="12"/>
  <c r="N31" i="12"/>
  <c r="M31" i="12"/>
  <c r="L31" i="12"/>
  <c r="K31" i="12"/>
  <c r="J31" i="12"/>
  <c r="I31" i="12"/>
  <c r="H31" i="12"/>
  <c r="G31" i="12"/>
  <c r="F31" i="12"/>
  <c r="E31" i="12"/>
  <c r="S30" i="12"/>
  <c r="R30" i="12"/>
  <c r="Q30" i="12"/>
  <c r="P30" i="12"/>
  <c r="O30" i="12"/>
  <c r="N30" i="12"/>
  <c r="M30" i="12"/>
  <c r="L30" i="12"/>
  <c r="K30" i="12"/>
  <c r="J30" i="12"/>
  <c r="I30" i="12"/>
  <c r="H30" i="12"/>
  <c r="G30" i="12"/>
  <c r="F30" i="12"/>
  <c r="E30" i="12"/>
  <c r="S29" i="12"/>
  <c r="R29" i="12"/>
  <c r="Q29" i="12"/>
  <c r="P29" i="12"/>
  <c r="O29" i="12"/>
  <c r="N29" i="12"/>
  <c r="M29" i="12"/>
  <c r="L29" i="12"/>
  <c r="K29" i="12"/>
  <c r="J29" i="12"/>
  <c r="I29" i="12"/>
  <c r="H29" i="12"/>
  <c r="G29" i="12"/>
  <c r="F29" i="12"/>
  <c r="E29" i="12"/>
  <c r="S28" i="12"/>
  <c r="R28" i="12"/>
  <c r="Q28" i="12"/>
  <c r="P28" i="12"/>
  <c r="O28" i="12"/>
  <c r="N28" i="12"/>
  <c r="M28" i="12"/>
  <c r="L28" i="12"/>
  <c r="K28" i="12"/>
  <c r="J28" i="12"/>
  <c r="I28" i="12"/>
  <c r="H28" i="12"/>
  <c r="G28" i="12"/>
  <c r="F28" i="12"/>
  <c r="E27" i="12"/>
  <c r="E98" i="12" s="1"/>
  <c r="F98" i="12" s="1"/>
  <c r="G98" i="12" s="1"/>
  <c r="H98" i="12" s="1"/>
  <c r="I98" i="12" s="1"/>
  <c r="J98" i="12" s="1"/>
  <c r="K98" i="12" s="1"/>
  <c r="L98" i="12" s="1"/>
  <c r="M98" i="12" s="1"/>
  <c r="N98" i="12" s="1"/>
  <c r="O98" i="12" s="1"/>
  <c r="P98" i="12" s="1"/>
  <c r="Q98" i="12" s="1"/>
  <c r="R98" i="12" s="1"/>
  <c r="S26" i="12"/>
  <c r="R26" i="12"/>
  <c r="Q26" i="12"/>
  <c r="P26" i="12"/>
  <c r="O26" i="12"/>
  <c r="N26" i="12"/>
  <c r="M26" i="12"/>
  <c r="L26" i="12"/>
  <c r="K26" i="12"/>
  <c r="J26" i="12"/>
  <c r="I26" i="12"/>
  <c r="H26" i="12"/>
  <c r="G26" i="12"/>
  <c r="F26" i="12"/>
  <c r="E25" i="12"/>
  <c r="E96" i="12" s="1"/>
  <c r="E24" i="12"/>
  <c r="S23" i="12"/>
  <c r="R23" i="12"/>
  <c r="Q23" i="12"/>
  <c r="P23" i="12"/>
  <c r="O23" i="12"/>
  <c r="N23" i="12"/>
  <c r="M23" i="12"/>
  <c r="L23" i="12"/>
  <c r="K23" i="12"/>
  <c r="J23" i="12"/>
  <c r="I23" i="12"/>
  <c r="H23" i="12"/>
  <c r="G23" i="12"/>
  <c r="F23" i="12"/>
  <c r="E23" i="12"/>
  <c r="S22" i="12"/>
  <c r="R22" i="12"/>
  <c r="Q22" i="12"/>
  <c r="P22" i="12"/>
  <c r="O22" i="12"/>
  <c r="N22" i="12"/>
  <c r="M22" i="12"/>
  <c r="L22" i="12"/>
  <c r="K22" i="12"/>
  <c r="J22" i="12"/>
  <c r="I22" i="12"/>
  <c r="H22" i="12"/>
  <c r="G22" i="12"/>
  <c r="F22" i="12"/>
  <c r="E22" i="12"/>
  <c r="S21" i="12"/>
  <c r="R21" i="12"/>
  <c r="Q21" i="12"/>
  <c r="P21" i="12"/>
  <c r="O21" i="12"/>
  <c r="N21" i="12"/>
  <c r="M21" i="12"/>
  <c r="L21" i="12"/>
  <c r="K21" i="12"/>
  <c r="J21" i="12"/>
  <c r="I21" i="12"/>
  <c r="H21" i="12"/>
  <c r="G21" i="12"/>
  <c r="F21" i="12"/>
  <c r="E21" i="12"/>
  <c r="S20" i="12"/>
  <c r="R20" i="12"/>
  <c r="Q20" i="12"/>
  <c r="P20" i="12"/>
  <c r="O20" i="12"/>
  <c r="N20" i="12"/>
  <c r="M20" i="12"/>
  <c r="L20" i="12"/>
  <c r="K20" i="12"/>
  <c r="J20" i="12"/>
  <c r="I20" i="12"/>
  <c r="H20" i="12"/>
  <c r="G20" i="12"/>
  <c r="F20" i="12"/>
  <c r="E20" i="12"/>
  <c r="S19" i="12"/>
  <c r="R19" i="12"/>
  <c r="Q19" i="12"/>
  <c r="P19" i="12"/>
  <c r="O19" i="12"/>
  <c r="N19" i="12"/>
  <c r="M19" i="12"/>
  <c r="L19" i="12"/>
  <c r="K19" i="12"/>
  <c r="J19" i="12"/>
  <c r="I19" i="12"/>
  <c r="H19" i="12"/>
  <c r="G19" i="12"/>
  <c r="F19" i="12"/>
  <c r="E19" i="12"/>
  <c r="S18" i="12"/>
  <c r="R18" i="12"/>
  <c r="Q18" i="12"/>
  <c r="P18" i="12"/>
  <c r="O18" i="12"/>
  <c r="N18" i="12"/>
  <c r="M18" i="12"/>
  <c r="L18" i="12"/>
  <c r="K18" i="12"/>
  <c r="J18" i="12"/>
  <c r="I18" i="12"/>
  <c r="H18" i="12"/>
  <c r="G18" i="12"/>
  <c r="F18" i="12"/>
  <c r="E18" i="12"/>
  <c r="S17" i="12"/>
  <c r="R17" i="12"/>
  <c r="Q17" i="12"/>
  <c r="P17" i="12"/>
  <c r="O17" i="12"/>
  <c r="N17" i="12"/>
  <c r="M17" i="12"/>
  <c r="L17" i="12"/>
  <c r="K17" i="12"/>
  <c r="J17" i="12"/>
  <c r="I17" i="12"/>
  <c r="H17" i="12"/>
  <c r="G17" i="12"/>
  <c r="F17" i="12"/>
  <c r="E17" i="12"/>
  <c r="S16" i="12"/>
  <c r="R16" i="12"/>
  <c r="Q16" i="12"/>
  <c r="P16" i="12"/>
  <c r="O16" i="12"/>
  <c r="N16" i="12"/>
  <c r="M16" i="12"/>
  <c r="L16" i="12"/>
  <c r="K16" i="12"/>
  <c r="J16" i="12"/>
  <c r="I16" i="12"/>
  <c r="H16" i="12"/>
  <c r="G16" i="12"/>
  <c r="F16" i="12"/>
  <c r="E16" i="12"/>
  <c r="S15" i="12"/>
  <c r="R15" i="12"/>
  <c r="Q15" i="12"/>
  <c r="P15" i="12"/>
  <c r="O15" i="12"/>
  <c r="N15" i="12"/>
  <c r="M15" i="12"/>
  <c r="L15" i="12"/>
  <c r="K15" i="12"/>
  <c r="J15" i="12"/>
  <c r="I15" i="12"/>
  <c r="H15" i="12"/>
  <c r="G15" i="12"/>
  <c r="F15" i="12"/>
  <c r="E15" i="12"/>
  <c r="S14" i="12"/>
  <c r="R14" i="12"/>
  <c r="Q14" i="12"/>
  <c r="P14" i="12"/>
  <c r="O14" i="12"/>
  <c r="N14" i="12"/>
  <c r="M14" i="12"/>
  <c r="L14" i="12"/>
  <c r="K14" i="12"/>
  <c r="J14" i="12"/>
  <c r="I14" i="12"/>
  <c r="H14" i="12"/>
  <c r="G14" i="12"/>
  <c r="F14" i="12"/>
  <c r="E14" i="12"/>
  <c r="S13" i="12"/>
  <c r="R13" i="12"/>
  <c r="Q13" i="12"/>
  <c r="P13" i="12"/>
  <c r="O13" i="12"/>
  <c r="N13" i="12"/>
  <c r="M13" i="12"/>
  <c r="L13" i="12"/>
  <c r="K13" i="12"/>
  <c r="J13" i="12"/>
  <c r="I13" i="12"/>
  <c r="H13" i="12"/>
  <c r="G13" i="12"/>
  <c r="F13" i="12"/>
  <c r="S12" i="12"/>
  <c r="R12" i="12"/>
  <c r="Q12" i="12"/>
  <c r="P12" i="12"/>
  <c r="O12" i="12"/>
  <c r="N12" i="12"/>
  <c r="M12" i="12"/>
  <c r="L12" i="12"/>
  <c r="K12" i="12"/>
  <c r="J12" i="12"/>
  <c r="I12" i="12"/>
  <c r="H12" i="12"/>
  <c r="G12" i="12"/>
  <c r="F12" i="12"/>
  <c r="E11" i="12"/>
  <c r="E10" i="12"/>
  <c r="E9" i="12"/>
  <c r="C5" i="12"/>
  <c r="C166" i="11"/>
  <c r="B166" i="11"/>
  <c r="S146" i="11"/>
  <c r="R146" i="11"/>
  <c r="Q146" i="11"/>
  <c r="P146" i="11"/>
  <c r="O146" i="11"/>
  <c r="N146" i="11"/>
  <c r="M146" i="11"/>
  <c r="L146" i="11"/>
  <c r="K146" i="11"/>
  <c r="J146" i="11"/>
  <c r="I146" i="11"/>
  <c r="H146" i="11"/>
  <c r="G146" i="11"/>
  <c r="F146" i="11"/>
  <c r="D142" i="11"/>
  <c r="C142" i="11"/>
  <c r="B142" i="11"/>
  <c r="E124" i="11"/>
  <c r="D118" i="11"/>
  <c r="C118" i="11"/>
  <c r="B118" i="11"/>
  <c r="D114" i="11"/>
  <c r="C114" i="11"/>
  <c r="B114" i="11"/>
  <c r="S112" i="11"/>
  <c r="R112" i="11"/>
  <c r="Q112" i="11"/>
  <c r="P112" i="11"/>
  <c r="O112" i="11"/>
  <c r="N112" i="11"/>
  <c r="M112" i="11"/>
  <c r="L112" i="11"/>
  <c r="K112" i="11"/>
  <c r="J112" i="11"/>
  <c r="I112" i="11"/>
  <c r="H112" i="11"/>
  <c r="G112" i="11"/>
  <c r="F112" i="11"/>
  <c r="E112" i="11"/>
  <c r="D112" i="11"/>
  <c r="C112" i="11"/>
  <c r="B112" i="11"/>
  <c r="D108" i="11"/>
  <c r="C108" i="11"/>
  <c r="B108" i="11"/>
  <c r="D103" i="11"/>
  <c r="D111" i="11" s="1"/>
  <c r="C103" i="11"/>
  <c r="C111" i="11" s="1"/>
  <c r="B103" i="11"/>
  <c r="B111" i="11" s="1"/>
  <c r="D102" i="11"/>
  <c r="D110" i="11" s="1"/>
  <c r="C102" i="11"/>
  <c r="C110" i="11" s="1"/>
  <c r="B102" i="11"/>
  <c r="B110" i="11" s="1"/>
  <c r="D100" i="11"/>
  <c r="C100" i="11"/>
  <c r="B100" i="11"/>
  <c r="D99" i="11"/>
  <c r="C99" i="11"/>
  <c r="B99" i="11"/>
  <c r="E82" i="11"/>
  <c r="D78" i="11"/>
  <c r="C78" i="11"/>
  <c r="B78" i="11"/>
  <c r="D70" i="11"/>
  <c r="D69" i="11"/>
  <c r="C69" i="11"/>
  <c r="B69" i="11"/>
  <c r="D68" i="11"/>
  <c r="C68" i="11"/>
  <c r="B68" i="11"/>
  <c r="D65" i="11"/>
  <c r="C65" i="11"/>
  <c r="B65" i="11"/>
  <c r="B107" i="11" s="1"/>
  <c r="D64" i="11"/>
  <c r="D67" i="11" s="1"/>
  <c r="C64" i="11"/>
  <c r="C67" i="11" s="1"/>
  <c r="B64" i="11"/>
  <c r="B67" i="11" s="1"/>
  <c r="D63" i="11"/>
  <c r="C63" i="11"/>
  <c r="B63" i="11"/>
  <c r="E56" i="11"/>
  <c r="D56" i="11"/>
  <c r="C56" i="11"/>
  <c r="B56" i="11"/>
  <c r="E50" i="11"/>
  <c r="E49" i="11"/>
  <c r="E48" i="11"/>
  <c r="E47" i="11"/>
  <c r="E46" i="11"/>
  <c r="E45" i="11"/>
  <c r="E44" i="11"/>
  <c r="E43" i="11"/>
  <c r="E40" i="11"/>
  <c r="E52" i="11" s="1"/>
  <c r="E37" i="11"/>
  <c r="E36" i="11"/>
  <c r="E35" i="11"/>
  <c r="S34" i="11"/>
  <c r="R34" i="11"/>
  <c r="Q34" i="11"/>
  <c r="P34" i="11"/>
  <c r="O34" i="11"/>
  <c r="N34" i="11"/>
  <c r="M34" i="11"/>
  <c r="L34" i="11"/>
  <c r="K34" i="11"/>
  <c r="J34" i="11"/>
  <c r="I34" i="11"/>
  <c r="H34" i="11"/>
  <c r="G34" i="11"/>
  <c r="F34" i="11"/>
  <c r="E34" i="11"/>
  <c r="S33" i="11"/>
  <c r="R33" i="11"/>
  <c r="Q33" i="11"/>
  <c r="P33" i="11"/>
  <c r="O33" i="11"/>
  <c r="N33" i="11"/>
  <c r="M33" i="11"/>
  <c r="L33" i="11"/>
  <c r="K33" i="11"/>
  <c r="J33" i="11"/>
  <c r="I33" i="11"/>
  <c r="H33" i="11"/>
  <c r="G33" i="11"/>
  <c r="F33" i="11"/>
  <c r="E33" i="11"/>
  <c r="S32" i="11"/>
  <c r="R32" i="11"/>
  <c r="Q32" i="11"/>
  <c r="P32" i="11"/>
  <c r="O32" i="11"/>
  <c r="N32" i="11"/>
  <c r="M32" i="11"/>
  <c r="L32" i="11"/>
  <c r="K32" i="11"/>
  <c r="J32" i="11"/>
  <c r="I32" i="11"/>
  <c r="H32" i="11"/>
  <c r="G32" i="11"/>
  <c r="F32" i="11"/>
  <c r="E32" i="11"/>
  <c r="S31" i="11"/>
  <c r="R31" i="11"/>
  <c r="Q31" i="11"/>
  <c r="P31" i="11"/>
  <c r="O31" i="11"/>
  <c r="N31" i="11"/>
  <c r="M31" i="11"/>
  <c r="L31" i="11"/>
  <c r="K31" i="11"/>
  <c r="J31" i="11"/>
  <c r="I31" i="11"/>
  <c r="H31" i="11"/>
  <c r="G31" i="11"/>
  <c r="F31" i="11"/>
  <c r="E31" i="11"/>
  <c r="S30" i="11"/>
  <c r="R30" i="11"/>
  <c r="Q30" i="11"/>
  <c r="P30" i="11"/>
  <c r="O30" i="11"/>
  <c r="N30" i="11"/>
  <c r="M30" i="11"/>
  <c r="L30" i="11"/>
  <c r="K30" i="11"/>
  <c r="J30" i="11"/>
  <c r="I30" i="11"/>
  <c r="H30" i="11"/>
  <c r="G30" i="11"/>
  <c r="F30" i="11"/>
  <c r="E30" i="11"/>
  <c r="S29" i="11"/>
  <c r="R29" i="11"/>
  <c r="Q29" i="11"/>
  <c r="P29" i="11"/>
  <c r="O29" i="11"/>
  <c r="N29" i="11"/>
  <c r="M29" i="11"/>
  <c r="L29" i="11"/>
  <c r="K29" i="11"/>
  <c r="J29" i="11"/>
  <c r="I29" i="11"/>
  <c r="H29" i="11"/>
  <c r="G29" i="11"/>
  <c r="F29" i="11"/>
  <c r="E29" i="11"/>
  <c r="S28" i="11"/>
  <c r="R28" i="11"/>
  <c r="Q28" i="11"/>
  <c r="P28" i="11"/>
  <c r="O28" i="11"/>
  <c r="N28" i="11"/>
  <c r="M28" i="11"/>
  <c r="L28" i="11"/>
  <c r="K28" i="11"/>
  <c r="J28" i="11"/>
  <c r="I28" i="11"/>
  <c r="H28" i="11"/>
  <c r="G28" i="11"/>
  <c r="F28" i="11"/>
  <c r="E27" i="11"/>
  <c r="E98" i="11" s="1"/>
  <c r="F98" i="11" s="1"/>
  <c r="G98" i="11" s="1"/>
  <c r="H98" i="11" s="1"/>
  <c r="I98" i="11" s="1"/>
  <c r="J98" i="11" s="1"/>
  <c r="K98" i="11" s="1"/>
  <c r="L98" i="11" s="1"/>
  <c r="M98" i="11" s="1"/>
  <c r="N98" i="11" s="1"/>
  <c r="O98" i="11" s="1"/>
  <c r="P98" i="11" s="1"/>
  <c r="Q98" i="11" s="1"/>
  <c r="R98" i="11" s="1"/>
  <c r="S98" i="11" s="1"/>
  <c r="S26" i="11"/>
  <c r="R26" i="11"/>
  <c r="Q26" i="11"/>
  <c r="P26" i="11"/>
  <c r="O26" i="11"/>
  <c r="N26" i="11"/>
  <c r="M26" i="11"/>
  <c r="L26" i="11"/>
  <c r="K26" i="11"/>
  <c r="J26" i="11"/>
  <c r="I26" i="11"/>
  <c r="H26" i="11"/>
  <c r="G26" i="11"/>
  <c r="F26" i="11"/>
  <c r="E25" i="11"/>
  <c r="E96" i="11" s="1"/>
  <c r="E24" i="11"/>
  <c r="S23" i="11"/>
  <c r="R23" i="11"/>
  <c r="Q23" i="11"/>
  <c r="P23" i="11"/>
  <c r="O23" i="11"/>
  <c r="N23" i="11"/>
  <c r="M23" i="11"/>
  <c r="L23" i="11"/>
  <c r="K23" i="11"/>
  <c r="J23" i="11"/>
  <c r="I23" i="11"/>
  <c r="H23" i="11"/>
  <c r="G23" i="11"/>
  <c r="F23" i="11"/>
  <c r="E23" i="11"/>
  <c r="S22" i="11"/>
  <c r="R22" i="11"/>
  <c r="Q22" i="11"/>
  <c r="P22" i="11"/>
  <c r="O22" i="11"/>
  <c r="N22" i="11"/>
  <c r="M22" i="11"/>
  <c r="L22" i="11"/>
  <c r="K22" i="11"/>
  <c r="J22" i="11"/>
  <c r="I22" i="11"/>
  <c r="H22" i="11"/>
  <c r="G22" i="11"/>
  <c r="F22" i="11"/>
  <c r="E22" i="11"/>
  <c r="S21" i="11"/>
  <c r="R21" i="11"/>
  <c r="Q21" i="11"/>
  <c r="P21" i="11"/>
  <c r="O21" i="11"/>
  <c r="N21" i="11"/>
  <c r="M21" i="11"/>
  <c r="L21" i="11"/>
  <c r="K21" i="11"/>
  <c r="J21" i="11"/>
  <c r="I21" i="11"/>
  <c r="H21" i="11"/>
  <c r="G21" i="11"/>
  <c r="F21" i="11"/>
  <c r="E21" i="11"/>
  <c r="S20" i="11"/>
  <c r="R20" i="11"/>
  <c r="Q20" i="11"/>
  <c r="P20" i="11"/>
  <c r="O20" i="11"/>
  <c r="N20" i="11"/>
  <c r="M20" i="11"/>
  <c r="L20" i="11"/>
  <c r="K20" i="11"/>
  <c r="J20" i="11"/>
  <c r="I20" i="11"/>
  <c r="H20" i="11"/>
  <c r="G20" i="11"/>
  <c r="F20" i="11"/>
  <c r="E20" i="11"/>
  <c r="S19" i="11"/>
  <c r="R19" i="11"/>
  <c r="Q19" i="11"/>
  <c r="P19" i="11"/>
  <c r="O19" i="11"/>
  <c r="N19" i="11"/>
  <c r="M19" i="11"/>
  <c r="L19" i="11"/>
  <c r="K19" i="11"/>
  <c r="J19" i="11"/>
  <c r="I19" i="11"/>
  <c r="H19" i="11"/>
  <c r="G19" i="11"/>
  <c r="F19" i="11"/>
  <c r="E19" i="11"/>
  <c r="S18" i="11"/>
  <c r="R18" i="11"/>
  <c r="Q18" i="11"/>
  <c r="P18" i="11"/>
  <c r="O18" i="11"/>
  <c r="N18" i="11"/>
  <c r="M18" i="11"/>
  <c r="L18" i="11"/>
  <c r="K18" i="11"/>
  <c r="J18" i="11"/>
  <c r="I18" i="11"/>
  <c r="H18" i="11"/>
  <c r="G18" i="11"/>
  <c r="F18" i="11"/>
  <c r="E18" i="11"/>
  <c r="S17" i="11"/>
  <c r="R17" i="11"/>
  <c r="Q17" i="11"/>
  <c r="P17" i="11"/>
  <c r="O17" i="11"/>
  <c r="N17" i="11"/>
  <c r="M17" i="11"/>
  <c r="L17" i="11"/>
  <c r="K17" i="11"/>
  <c r="J17" i="11"/>
  <c r="I17" i="11"/>
  <c r="H17" i="11"/>
  <c r="G17" i="11"/>
  <c r="F17" i="11"/>
  <c r="E17" i="11"/>
  <c r="S16" i="11"/>
  <c r="R16" i="11"/>
  <c r="Q16" i="11"/>
  <c r="P16" i="11"/>
  <c r="O16" i="11"/>
  <c r="N16" i="11"/>
  <c r="M16" i="11"/>
  <c r="L16" i="11"/>
  <c r="K16" i="11"/>
  <c r="J16" i="11"/>
  <c r="I16" i="11"/>
  <c r="H16" i="11"/>
  <c r="G16" i="11"/>
  <c r="F16" i="11"/>
  <c r="E16" i="11"/>
  <c r="S15" i="11"/>
  <c r="R15" i="11"/>
  <c r="Q15" i="11"/>
  <c r="P15" i="11"/>
  <c r="O15" i="11"/>
  <c r="N15" i="11"/>
  <c r="M15" i="11"/>
  <c r="L15" i="11"/>
  <c r="K15" i="11"/>
  <c r="J15" i="11"/>
  <c r="I15" i="11"/>
  <c r="H15" i="11"/>
  <c r="G15" i="11"/>
  <c r="F15" i="11"/>
  <c r="E15" i="11"/>
  <c r="S14" i="11"/>
  <c r="R14" i="11"/>
  <c r="Q14" i="11"/>
  <c r="P14" i="11"/>
  <c r="O14" i="11"/>
  <c r="N14" i="11"/>
  <c r="M14" i="11"/>
  <c r="L14" i="11"/>
  <c r="K14" i="11"/>
  <c r="J14" i="11"/>
  <c r="I14" i="11"/>
  <c r="H14" i="11"/>
  <c r="G14" i="11"/>
  <c r="F14" i="11"/>
  <c r="E14" i="11"/>
  <c r="S13" i="11"/>
  <c r="R13" i="11"/>
  <c r="Q13" i="11"/>
  <c r="P13" i="11"/>
  <c r="O13" i="11"/>
  <c r="N13" i="11"/>
  <c r="M13" i="11"/>
  <c r="L13" i="11"/>
  <c r="K13" i="11"/>
  <c r="J13" i="11"/>
  <c r="I13" i="11"/>
  <c r="H13" i="11"/>
  <c r="G13" i="11"/>
  <c r="F13" i="11"/>
  <c r="S12" i="11"/>
  <c r="R12" i="11"/>
  <c r="Q12" i="11"/>
  <c r="P12" i="11"/>
  <c r="O12" i="11"/>
  <c r="N12" i="11"/>
  <c r="M12" i="11"/>
  <c r="L12" i="11"/>
  <c r="K12" i="11"/>
  <c r="J12" i="11"/>
  <c r="I12" i="11"/>
  <c r="H12" i="11"/>
  <c r="G12" i="11"/>
  <c r="F12" i="11"/>
  <c r="E11" i="11"/>
  <c r="E10" i="11"/>
  <c r="C5" i="11"/>
  <c r="B68" i="7"/>
  <c r="B69" i="7" s="1"/>
  <c r="D166" i="3"/>
  <c r="C166" i="3"/>
  <c r="B166" i="3"/>
  <c r="C5" i="3"/>
  <c r="S146" i="3"/>
  <c r="R146" i="3"/>
  <c r="Q146" i="3"/>
  <c r="P146" i="3"/>
  <c r="O146" i="3"/>
  <c r="N146" i="3"/>
  <c r="M146" i="3"/>
  <c r="L146" i="3"/>
  <c r="K146" i="3"/>
  <c r="J146" i="3"/>
  <c r="I146" i="3"/>
  <c r="H146" i="3"/>
  <c r="G146" i="3"/>
  <c r="F146" i="3"/>
  <c r="D142" i="3"/>
  <c r="C142" i="3"/>
  <c r="B142" i="3"/>
  <c r="E124" i="3"/>
  <c r="D118" i="3"/>
  <c r="C118" i="3"/>
  <c r="B118" i="3"/>
  <c r="D114" i="3"/>
  <c r="D26" i="9" s="1"/>
  <c r="C114" i="3"/>
  <c r="C26" i="9" s="1"/>
  <c r="B114" i="3"/>
  <c r="B26" i="9" s="1"/>
  <c r="S112" i="3"/>
  <c r="R112" i="3"/>
  <c r="Q112" i="3"/>
  <c r="P112" i="3"/>
  <c r="O112" i="3"/>
  <c r="N112" i="3"/>
  <c r="M112" i="3"/>
  <c r="L112" i="3"/>
  <c r="K112" i="3"/>
  <c r="J112" i="3"/>
  <c r="I112" i="3"/>
  <c r="H112" i="3"/>
  <c r="G112" i="3"/>
  <c r="F112" i="3"/>
  <c r="E112" i="3"/>
  <c r="D112" i="3"/>
  <c r="C112" i="3"/>
  <c r="B112" i="3"/>
  <c r="D108" i="3"/>
  <c r="D22" i="9" s="1"/>
  <c r="C108" i="3"/>
  <c r="C22" i="9" s="1"/>
  <c r="B108" i="3"/>
  <c r="B22" i="9" s="1"/>
  <c r="D103" i="3"/>
  <c r="C103" i="3"/>
  <c r="B103" i="3"/>
  <c r="D102" i="3"/>
  <c r="C102" i="3"/>
  <c r="B102" i="3"/>
  <c r="D100" i="3"/>
  <c r="C100" i="3"/>
  <c r="B100" i="3"/>
  <c r="D99" i="3"/>
  <c r="D23" i="9" s="1"/>
  <c r="C99" i="3"/>
  <c r="C23" i="9" s="1"/>
  <c r="B99" i="3"/>
  <c r="B23" i="9" s="1"/>
  <c r="E82" i="3"/>
  <c r="D78" i="3"/>
  <c r="C78" i="3"/>
  <c r="B78" i="3"/>
  <c r="D70" i="3"/>
  <c r="D69" i="3"/>
  <c r="C69" i="3"/>
  <c r="B69" i="3"/>
  <c r="D68" i="3"/>
  <c r="C68" i="3"/>
  <c r="B68" i="3"/>
  <c r="D65" i="3"/>
  <c r="C65" i="3"/>
  <c r="C19" i="9" s="1"/>
  <c r="B65" i="3"/>
  <c r="B19" i="9" s="1"/>
  <c r="D64" i="3"/>
  <c r="C64" i="3"/>
  <c r="B64" i="3"/>
  <c r="D63" i="3"/>
  <c r="D20" i="9" s="1"/>
  <c r="C63" i="3"/>
  <c r="C20" i="9" s="1"/>
  <c r="B63" i="3"/>
  <c r="B20" i="9" s="1"/>
  <c r="E56" i="3"/>
  <c r="E59" i="3" s="1"/>
  <c r="E38" i="9" s="1"/>
  <c r="D56" i="3"/>
  <c r="D59" i="3" s="1"/>
  <c r="D38" i="9" s="1"/>
  <c r="C56" i="3"/>
  <c r="B56" i="3"/>
  <c r="E50" i="3"/>
  <c r="E49" i="3"/>
  <c r="E48" i="3"/>
  <c r="E47" i="3"/>
  <c r="E46" i="3"/>
  <c r="E45" i="3"/>
  <c r="E44" i="3"/>
  <c r="E43" i="3"/>
  <c r="E40" i="3"/>
  <c r="E52" i="3" s="1"/>
  <c r="E37" i="3"/>
  <c r="E36" i="3"/>
  <c r="E35" i="3"/>
  <c r="S34" i="3"/>
  <c r="R34" i="3"/>
  <c r="Q34" i="3"/>
  <c r="P34" i="3"/>
  <c r="O34" i="3"/>
  <c r="N34" i="3"/>
  <c r="M34" i="3"/>
  <c r="L34" i="3"/>
  <c r="K34" i="3"/>
  <c r="J34" i="3"/>
  <c r="I34" i="3"/>
  <c r="H34" i="3"/>
  <c r="G34" i="3"/>
  <c r="F34" i="3"/>
  <c r="E34" i="3"/>
  <c r="S33" i="3"/>
  <c r="R33" i="3"/>
  <c r="Q33" i="3"/>
  <c r="P33" i="3"/>
  <c r="O33" i="3"/>
  <c r="N33" i="3"/>
  <c r="M33" i="3"/>
  <c r="L33" i="3"/>
  <c r="K33" i="3"/>
  <c r="J33" i="3"/>
  <c r="I33" i="3"/>
  <c r="H33" i="3"/>
  <c r="G33" i="3"/>
  <c r="F33" i="3"/>
  <c r="E33" i="3"/>
  <c r="S32" i="3"/>
  <c r="R32" i="3"/>
  <c r="Q32" i="3"/>
  <c r="P32" i="3"/>
  <c r="O32" i="3"/>
  <c r="N32" i="3"/>
  <c r="M32" i="3"/>
  <c r="L32" i="3"/>
  <c r="K32" i="3"/>
  <c r="J32" i="3"/>
  <c r="I32" i="3"/>
  <c r="H32" i="3"/>
  <c r="G32" i="3"/>
  <c r="F32" i="3"/>
  <c r="E32" i="3"/>
  <c r="S31" i="3"/>
  <c r="R31" i="3"/>
  <c r="Q31" i="3"/>
  <c r="P31" i="3"/>
  <c r="O31" i="3"/>
  <c r="N31" i="3"/>
  <c r="M31" i="3"/>
  <c r="L31" i="3"/>
  <c r="K31" i="3"/>
  <c r="J31" i="3"/>
  <c r="I31" i="3"/>
  <c r="H31" i="3"/>
  <c r="G31" i="3"/>
  <c r="F31" i="3"/>
  <c r="E31" i="3"/>
  <c r="S30" i="3"/>
  <c r="R30" i="3"/>
  <c r="Q30" i="3"/>
  <c r="P30" i="3"/>
  <c r="O30" i="3"/>
  <c r="N30" i="3"/>
  <c r="M30" i="3"/>
  <c r="L30" i="3"/>
  <c r="K30" i="3"/>
  <c r="J30" i="3"/>
  <c r="I30" i="3"/>
  <c r="H30" i="3"/>
  <c r="G30" i="3"/>
  <c r="F30" i="3"/>
  <c r="E30" i="3"/>
  <c r="S29" i="3"/>
  <c r="R29" i="3"/>
  <c r="Q29" i="3"/>
  <c r="P29" i="3"/>
  <c r="O29" i="3"/>
  <c r="N29" i="3"/>
  <c r="M29" i="3"/>
  <c r="L29" i="3"/>
  <c r="K29" i="3"/>
  <c r="J29" i="3"/>
  <c r="I29" i="3"/>
  <c r="H29" i="3"/>
  <c r="G29" i="3"/>
  <c r="F29" i="3"/>
  <c r="E29" i="3"/>
  <c r="S28" i="3"/>
  <c r="R28" i="3"/>
  <c r="Q28" i="3"/>
  <c r="P28" i="3"/>
  <c r="O28" i="3"/>
  <c r="N28" i="3"/>
  <c r="M28" i="3"/>
  <c r="L28" i="3"/>
  <c r="K28" i="3"/>
  <c r="J28" i="3"/>
  <c r="I28" i="3"/>
  <c r="H28" i="3"/>
  <c r="G28" i="3"/>
  <c r="F28" i="3"/>
  <c r="E27" i="3"/>
  <c r="E98" i="3" s="1"/>
  <c r="F98" i="3" s="1"/>
  <c r="G98" i="3" s="1"/>
  <c r="H98" i="3" s="1"/>
  <c r="I98" i="3" s="1"/>
  <c r="J98" i="3" s="1"/>
  <c r="K98" i="3" s="1"/>
  <c r="L98" i="3" s="1"/>
  <c r="M98" i="3" s="1"/>
  <c r="N98" i="3" s="1"/>
  <c r="O98" i="3" s="1"/>
  <c r="P98" i="3" s="1"/>
  <c r="Q98" i="3" s="1"/>
  <c r="R98" i="3" s="1"/>
  <c r="S98" i="3" s="1"/>
  <c r="S26" i="3"/>
  <c r="R26" i="3"/>
  <c r="Q26" i="3"/>
  <c r="P26" i="3"/>
  <c r="O26" i="3"/>
  <c r="N26" i="3"/>
  <c r="M26" i="3"/>
  <c r="L26" i="3"/>
  <c r="K26" i="3"/>
  <c r="J26" i="3"/>
  <c r="I26" i="3"/>
  <c r="H26" i="3"/>
  <c r="G26" i="3"/>
  <c r="F26" i="3"/>
  <c r="E25" i="3"/>
  <c r="E96" i="3" s="1"/>
  <c r="E24" i="3"/>
  <c r="S23" i="3"/>
  <c r="R23" i="3"/>
  <c r="Q23" i="3"/>
  <c r="P23" i="3"/>
  <c r="O23" i="3"/>
  <c r="N23" i="3"/>
  <c r="M23" i="3"/>
  <c r="L23" i="3"/>
  <c r="K23" i="3"/>
  <c r="J23" i="3"/>
  <c r="I23" i="3"/>
  <c r="H23" i="3"/>
  <c r="G23" i="3"/>
  <c r="F23" i="3"/>
  <c r="E23" i="3"/>
  <c r="S22" i="3"/>
  <c r="R22" i="3"/>
  <c r="Q22" i="3"/>
  <c r="P22" i="3"/>
  <c r="O22" i="3"/>
  <c r="N22" i="3"/>
  <c r="M22" i="3"/>
  <c r="L22" i="3"/>
  <c r="K22" i="3"/>
  <c r="J22" i="3"/>
  <c r="I22" i="3"/>
  <c r="H22" i="3"/>
  <c r="G22" i="3"/>
  <c r="F22" i="3"/>
  <c r="E22" i="3"/>
  <c r="S21" i="3"/>
  <c r="R21" i="3"/>
  <c r="Q21" i="3"/>
  <c r="P21" i="3"/>
  <c r="O21" i="3"/>
  <c r="N21" i="3"/>
  <c r="M21" i="3"/>
  <c r="L21" i="3"/>
  <c r="K21" i="3"/>
  <c r="J21" i="3"/>
  <c r="I21" i="3"/>
  <c r="H21" i="3"/>
  <c r="G21" i="3"/>
  <c r="F21" i="3"/>
  <c r="E21" i="3"/>
  <c r="S20" i="3"/>
  <c r="R20" i="3"/>
  <c r="Q20" i="3"/>
  <c r="P20" i="3"/>
  <c r="O20" i="3"/>
  <c r="N20" i="3"/>
  <c r="M20" i="3"/>
  <c r="L20" i="3"/>
  <c r="K20" i="3"/>
  <c r="J20" i="3"/>
  <c r="I20" i="3"/>
  <c r="H20" i="3"/>
  <c r="G20" i="3"/>
  <c r="F20" i="3"/>
  <c r="E20" i="3"/>
  <c r="S19" i="3"/>
  <c r="R19" i="3"/>
  <c r="Q19" i="3"/>
  <c r="P19" i="3"/>
  <c r="O19" i="3"/>
  <c r="N19" i="3"/>
  <c r="M19" i="3"/>
  <c r="L19" i="3"/>
  <c r="K19" i="3"/>
  <c r="J19" i="3"/>
  <c r="I19" i="3"/>
  <c r="H19" i="3"/>
  <c r="G19" i="3"/>
  <c r="F19" i="3"/>
  <c r="E19" i="3"/>
  <c r="D80" i="3" s="1"/>
  <c r="S18" i="3"/>
  <c r="R18" i="3"/>
  <c r="Q18" i="3"/>
  <c r="P18" i="3"/>
  <c r="O18" i="3"/>
  <c r="N18" i="3"/>
  <c r="M18" i="3"/>
  <c r="L18" i="3"/>
  <c r="K18" i="3"/>
  <c r="J18" i="3"/>
  <c r="I18" i="3"/>
  <c r="H18" i="3"/>
  <c r="G18" i="3"/>
  <c r="F18" i="3"/>
  <c r="E18" i="3"/>
  <c r="S17" i="3"/>
  <c r="R17" i="3"/>
  <c r="Q17" i="3"/>
  <c r="P17" i="3"/>
  <c r="O17" i="3"/>
  <c r="N17" i="3"/>
  <c r="M17" i="3"/>
  <c r="L17" i="3"/>
  <c r="K17" i="3"/>
  <c r="J17" i="3"/>
  <c r="I17" i="3"/>
  <c r="H17" i="3"/>
  <c r="G17" i="3"/>
  <c r="F17" i="3"/>
  <c r="E17" i="3"/>
  <c r="S16" i="3"/>
  <c r="R16" i="3"/>
  <c r="Q16" i="3"/>
  <c r="P16" i="3"/>
  <c r="O16" i="3"/>
  <c r="N16" i="3"/>
  <c r="M16" i="3"/>
  <c r="L16" i="3"/>
  <c r="K16" i="3"/>
  <c r="J16" i="3"/>
  <c r="I16" i="3"/>
  <c r="H16" i="3"/>
  <c r="G16" i="3"/>
  <c r="F16" i="3"/>
  <c r="E16" i="3"/>
  <c r="S15" i="3"/>
  <c r="R15" i="3"/>
  <c r="Q15" i="3"/>
  <c r="P15" i="3"/>
  <c r="O15" i="3"/>
  <c r="N15" i="3"/>
  <c r="M15" i="3"/>
  <c r="L15" i="3"/>
  <c r="K15" i="3"/>
  <c r="J15" i="3"/>
  <c r="I15" i="3"/>
  <c r="H15" i="3"/>
  <c r="G15" i="3"/>
  <c r="F15" i="3"/>
  <c r="E15" i="3"/>
  <c r="E70" i="3" s="1"/>
  <c r="F70" i="3" s="1"/>
  <c r="G70" i="3" s="1"/>
  <c r="H70" i="3" s="1"/>
  <c r="I70" i="3" s="1"/>
  <c r="J70" i="3" s="1"/>
  <c r="K70" i="3" s="1"/>
  <c r="L70" i="3" s="1"/>
  <c r="M70" i="3" s="1"/>
  <c r="N70" i="3" s="1"/>
  <c r="O70" i="3" s="1"/>
  <c r="P70" i="3" s="1"/>
  <c r="Q70" i="3" s="1"/>
  <c r="R70" i="3" s="1"/>
  <c r="S70" i="3" s="1"/>
  <c r="S14" i="3"/>
  <c r="R14" i="3"/>
  <c r="Q14" i="3"/>
  <c r="P14" i="3"/>
  <c r="O14" i="3"/>
  <c r="N14" i="3"/>
  <c r="M14" i="3"/>
  <c r="L14" i="3"/>
  <c r="K14" i="3"/>
  <c r="J14" i="3"/>
  <c r="I14" i="3"/>
  <c r="H14" i="3"/>
  <c r="G14" i="3"/>
  <c r="F14" i="3"/>
  <c r="E14" i="3"/>
  <c r="S13" i="3"/>
  <c r="R13" i="3"/>
  <c r="Q13" i="3"/>
  <c r="P13" i="3"/>
  <c r="O13" i="3"/>
  <c r="N13" i="3"/>
  <c r="M13" i="3"/>
  <c r="L13" i="3"/>
  <c r="K13" i="3"/>
  <c r="J13" i="3"/>
  <c r="I13" i="3"/>
  <c r="H13" i="3"/>
  <c r="G13" i="3"/>
  <c r="F13" i="3"/>
  <c r="S12" i="3"/>
  <c r="R12" i="3"/>
  <c r="Q12" i="3"/>
  <c r="P12" i="3"/>
  <c r="O12" i="3"/>
  <c r="N12" i="3"/>
  <c r="M12" i="3"/>
  <c r="L12" i="3"/>
  <c r="K12" i="3"/>
  <c r="J12" i="3"/>
  <c r="I12" i="3"/>
  <c r="H12" i="3"/>
  <c r="G12" i="3"/>
  <c r="F12" i="3"/>
  <c r="E11" i="3"/>
  <c r="E10" i="3"/>
  <c r="E57" i="3" s="1"/>
  <c r="E9" i="3"/>
  <c r="D57" i="3" s="1"/>
  <c r="B8" i="9"/>
  <c r="B57" i="7"/>
  <c r="B56" i="7"/>
  <c r="B50" i="7"/>
  <c r="B61" i="7" s="1"/>
  <c r="B39" i="7"/>
  <c r="B36" i="7"/>
  <c r="B38" i="7" s="1"/>
  <c r="B35" i="7"/>
  <c r="B34" i="7"/>
  <c r="C29" i="7"/>
  <c r="D29" i="7"/>
  <c r="E29" i="7"/>
  <c r="F11" i="2" s="1"/>
  <c r="C28" i="7"/>
  <c r="D28" i="7"/>
  <c r="E28" i="7"/>
  <c r="F10" i="2" s="1"/>
  <c r="C27" i="7"/>
  <c r="D27" i="7"/>
  <c r="E27" i="7"/>
  <c r="B22" i="7"/>
  <c r="B21" i="7"/>
  <c r="B20" i="7"/>
  <c r="B17" i="7"/>
  <c r="B18" i="7" s="1"/>
  <c r="B18" i="6"/>
  <c r="C18" i="6"/>
  <c r="D18" i="6"/>
  <c r="E18" i="6"/>
  <c r="B17" i="6"/>
  <c r="C17" i="6"/>
  <c r="D17" i="6"/>
  <c r="E17" i="6"/>
  <c r="B16" i="6"/>
  <c r="C16" i="6"/>
  <c r="D16" i="6"/>
  <c r="E16" i="6"/>
  <c r="F16" i="6"/>
  <c r="B15" i="6"/>
  <c r="C15" i="6"/>
  <c r="D15" i="6"/>
  <c r="E15" i="6"/>
  <c r="F15" i="6"/>
  <c r="B14" i="6"/>
  <c r="C14" i="6"/>
  <c r="D14" i="6"/>
  <c r="E14" i="6"/>
  <c r="F14" i="6"/>
  <c r="B13" i="6"/>
  <c r="C13" i="6"/>
  <c r="D13" i="6"/>
  <c r="E13" i="6"/>
  <c r="F13" i="6"/>
  <c r="B12" i="6"/>
  <c r="C12" i="6"/>
  <c r="D12" i="6"/>
  <c r="E12" i="6"/>
  <c r="F12" i="6"/>
  <c r="B11" i="6"/>
  <c r="C11" i="6"/>
  <c r="D11" i="6"/>
  <c r="E11" i="6"/>
  <c r="F11" i="6"/>
  <c r="B10" i="6"/>
  <c r="C10" i="6"/>
  <c r="D10" i="6"/>
  <c r="E10" i="6"/>
  <c r="F10" i="6"/>
  <c r="B9" i="6"/>
  <c r="C9" i="6"/>
  <c r="D9" i="6"/>
  <c r="E9" i="6"/>
  <c r="B8" i="6"/>
  <c r="C8" i="6"/>
  <c r="D8" i="6"/>
  <c r="E8" i="6"/>
  <c r="C7" i="6"/>
  <c r="D7" i="6"/>
  <c r="E7" i="6"/>
  <c r="F7" i="6"/>
  <c r="B174" i="10"/>
  <c r="C174" i="10"/>
  <c r="D174" i="10"/>
  <c r="E174" i="10"/>
  <c r="F174" i="10"/>
  <c r="G174" i="10"/>
  <c r="H174" i="10"/>
  <c r="B13" i="9" s="1"/>
  <c r="E9" i="11" s="1"/>
  <c r="I174" i="10"/>
  <c r="J174" i="10"/>
  <c r="K174" i="10"/>
  <c r="L174" i="10"/>
  <c r="M174" i="10"/>
  <c r="B164" i="10"/>
  <c r="C164" i="10"/>
  <c r="D164" i="10"/>
  <c r="E164" i="10"/>
  <c r="F164" i="10"/>
  <c r="G164" i="10"/>
  <c r="H164" i="10"/>
  <c r="I164" i="10"/>
  <c r="J164" i="10"/>
  <c r="B149" i="10"/>
  <c r="C149" i="10"/>
  <c r="D149" i="10"/>
  <c r="E149" i="10"/>
  <c r="F149" i="10"/>
  <c r="G149" i="10"/>
  <c r="H149" i="10"/>
  <c r="I149" i="10"/>
  <c r="J149" i="10"/>
  <c r="K149" i="10"/>
  <c r="B148" i="10"/>
  <c r="C148" i="10"/>
  <c r="D148" i="10"/>
  <c r="E148" i="10"/>
  <c r="F148" i="10"/>
  <c r="G148" i="10"/>
  <c r="H148" i="10"/>
  <c r="I148" i="10"/>
  <c r="J148" i="10"/>
  <c r="K148" i="10"/>
  <c r="B110" i="10"/>
  <c r="C110" i="10"/>
  <c r="D110" i="10"/>
  <c r="E110" i="10"/>
  <c r="F110" i="10"/>
  <c r="G110" i="10"/>
  <c r="H110" i="10"/>
  <c r="I110" i="10"/>
  <c r="J110" i="10"/>
  <c r="G77" i="10"/>
  <c r="H77" i="10"/>
  <c r="I77" i="10"/>
  <c r="J77" i="10"/>
  <c r="K77" i="10"/>
  <c r="B74" i="10"/>
  <c r="C74" i="10"/>
  <c r="D74" i="10"/>
  <c r="E74" i="10"/>
  <c r="F74" i="10"/>
  <c r="G74" i="10"/>
  <c r="H74" i="10"/>
  <c r="I74" i="10"/>
  <c r="J74" i="10"/>
  <c r="K74" i="10"/>
  <c r="B71" i="10"/>
  <c r="B77" i="10" s="1"/>
  <c r="C71" i="10"/>
  <c r="C77" i="10" s="1"/>
  <c r="D71" i="10"/>
  <c r="D77" i="10" s="1"/>
  <c r="E71" i="10"/>
  <c r="E77" i="10" s="1"/>
  <c r="F71" i="10"/>
  <c r="F77" i="10" s="1"/>
  <c r="G71" i="10"/>
  <c r="H71" i="10"/>
  <c r="I71" i="10"/>
  <c r="J71" i="10"/>
  <c r="K71" i="10"/>
  <c r="H65" i="10"/>
  <c r="I65" i="10"/>
  <c r="J65" i="10"/>
  <c r="K65" i="10"/>
  <c r="L65" i="10"/>
  <c r="M65" i="10"/>
  <c r="H64" i="10"/>
  <c r="I64" i="10"/>
  <c r="J64" i="10"/>
  <c r="K64" i="10"/>
  <c r="L64" i="10"/>
  <c r="M64" i="10"/>
  <c r="B60" i="10"/>
  <c r="C60" i="10"/>
  <c r="D60" i="10"/>
  <c r="E60" i="10"/>
  <c r="F60" i="10"/>
  <c r="G60" i="10"/>
  <c r="H60" i="10"/>
  <c r="I60" i="10"/>
  <c r="J60" i="10"/>
  <c r="K60" i="10"/>
  <c r="L60" i="10"/>
  <c r="M60" i="10"/>
  <c r="B59" i="10"/>
  <c r="C59" i="10"/>
  <c r="D59" i="10"/>
  <c r="E59" i="10"/>
  <c r="F59" i="10"/>
  <c r="G59" i="10"/>
  <c r="H59" i="10"/>
  <c r="I59" i="10"/>
  <c r="J59" i="10"/>
  <c r="K59" i="10"/>
  <c r="L59" i="10"/>
  <c r="M59" i="10"/>
  <c r="B58" i="10"/>
  <c r="C58" i="10"/>
  <c r="D58" i="10"/>
  <c r="E58" i="10"/>
  <c r="F58" i="10"/>
  <c r="G58" i="10"/>
  <c r="H58" i="10"/>
  <c r="I58" i="10"/>
  <c r="J58" i="10"/>
  <c r="K58" i="10"/>
  <c r="L58" i="10"/>
  <c r="M58" i="10"/>
  <c r="B57" i="10"/>
  <c r="B65" i="10" s="1"/>
  <c r="C57" i="10"/>
  <c r="C65" i="10" s="1"/>
  <c r="D57" i="10"/>
  <c r="D65" i="10" s="1"/>
  <c r="E57" i="10"/>
  <c r="E65" i="10" s="1"/>
  <c r="F57" i="10"/>
  <c r="F65" i="10" s="1"/>
  <c r="G57" i="10"/>
  <c r="G65" i="10" s="1"/>
  <c r="H57" i="10"/>
  <c r="I57" i="10"/>
  <c r="J57" i="10"/>
  <c r="K57" i="10"/>
  <c r="L57" i="10"/>
  <c r="M57" i="10"/>
  <c r="B55" i="10"/>
  <c r="C55" i="10"/>
  <c r="D55" i="10"/>
  <c r="E55" i="10"/>
  <c r="F55" i="10"/>
  <c r="G55" i="10"/>
  <c r="H55" i="10"/>
  <c r="I55" i="10"/>
  <c r="J55" i="10"/>
  <c r="K55" i="10"/>
  <c r="L55" i="10"/>
  <c r="M55" i="10"/>
  <c r="B50" i="10"/>
  <c r="B64" i="10" s="1"/>
  <c r="C50" i="10"/>
  <c r="C64" i="10" s="1"/>
  <c r="D50" i="10"/>
  <c r="D64" i="10" s="1"/>
  <c r="E50" i="10"/>
  <c r="E64" i="10" s="1"/>
  <c r="F50" i="10"/>
  <c r="F64" i="10" s="1"/>
  <c r="G50" i="10"/>
  <c r="G64" i="10" s="1"/>
  <c r="H50" i="10"/>
  <c r="I50" i="10"/>
  <c r="J50" i="10"/>
  <c r="K50" i="10"/>
  <c r="L50" i="10"/>
  <c r="M50" i="10"/>
  <c r="B29" i="10"/>
  <c r="C29" i="10"/>
  <c r="D29" i="10"/>
  <c r="E29" i="10"/>
  <c r="F29" i="10"/>
  <c r="G29" i="10"/>
  <c r="H29" i="10"/>
  <c r="I29" i="10"/>
  <c r="J29" i="10"/>
  <c r="K29" i="10"/>
  <c r="B33" i="14" l="1"/>
  <c r="B32" i="14"/>
  <c r="AH13" i="15"/>
  <c r="AI13" i="15"/>
  <c r="AF8" i="15"/>
  <c r="AG8" i="15"/>
  <c r="AH8" i="15"/>
  <c r="AI8" i="15"/>
  <c r="X8" i="15"/>
  <c r="AA8" i="15"/>
  <c r="AA9" i="15"/>
  <c r="AI9" i="15"/>
  <c r="AH9" i="15"/>
  <c r="AA18" i="15"/>
  <c r="AG18" i="15"/>
  <c r="X18" i="15"/>
  <c r="AF18" i="15"/>
  <c r="AH18" i="15"/>
  <c r="AI18" i="15"/>
  <c r="AA10" i="15"/>
  <c r="AI10" i="15"/>
  <c r="AH10" i="15"/>
  <c r="AG11" i="15"/>
  <c r="AA11" i="15"/>
  <c r="AI11" i="15"/>
  <c r="AF11" i="15"/>
  <c r="AH11" i="15"/>
  <c r="AI12" i="15"/>
  <c r="AH12" i="15"/>
  <c r="AA12" i="15"/>
  <c r="AA13" i="15"/>
  <c r="AA14" i="15"/>
  <c r="X14" i="15"/>
  <c r="AF14" i="15"/>
  <c r="AH14" i="15"/>
  <c r="AG14" i="15"/>
  <c r="AI14" i="15"/>
  <c r="AG15" i="15"/>
  <c r="AA15" i="15"/>
  <c r="AF15" i="15"/>
  <c r="AA16" i="15"/>
  <c r="AH16" i="15"/>
  <c r="AA17" i="15"/>
  <c r="AH17" i="15"/>
  <c r="AI17" i="15"/>
  <c r="AH19" i="15"/>
  <c r="AA19" i="15"/>
  <c r="AI19" i="15"/>
  <c r="AI20" i="15"/>
  <c r="X20" i="15"/>
  <c r="AH20" i="15"/>
  <c r="AF20" i="15"/>
  <c r="AA20" i="15"/>
  <c r="AG20" i="15"/>
  <c r="C37" i="14"/>
  <c r="C35" i="14"/>
  <c r="C36" i="14"/>
  <c r="D37" i="14"/>
  <c r="D35" i="14"/>
  <c r="D36" i="14"/>
  <c r="E35" i="14"/>
  <c r="E36" i="14"/>
  <c r="E37" i="14"/>
  <c r="F35" i="14"/>
  <c r="F36" i="14"/>
  <c r="F37" i="14"/>
  <c r="G35" i="14"/>
  <c r="G36" i="14"/>
  <c r="G37" i="14"/>
  <c r="H36" i="14"/>
  <c r="H37" i="14"/>
  <c r="H35" i="14"/>
  <c r="B20" i="14"/>
  <c r="B19" i="14"/>
  <c r="B34" i="14" s="1"/>
  <c r="B19" i="1"/>
  <c r="D166" i="11"/>
  <c r="B47" i="7"/>
  <c r="J30" i="8"/>
  <c r="K30" i="8"/>
  <c r="J28" i="8"/>
  <c r="K28" i="8"/>
  <c r="K31" i="8" s="1"/>
  <c r="J21" i="8"/>
  <c r="K21" i="8"/>
  <c r="J20" i="8"/>
  <c r="K20" i="8"/>
  <c r="J19" i="8"/>
  <c r="K19" i="8"/>
  <c r="J18" i="8"/>
  <c r="K18" i="8"/>
  <c r="J11" i="8"/>
  <c r="K11" i="8"/>
  <c r="J10" i="8"/>
  <c r="K10" i="8"/>
  <c r="J9" i="8"/>
  <c r="K9" i="8"/>
  <c r="H12" i="8"/>
  <c r="M22" i="8"/>
  <c r="K22" i="8"/>
  <c r="B14" i="9"/>
  <c r="B70" i="7"/>
  <c r="B33" i="1"/>
  <c r="J27" i="8"/>
  <c r="J31" i="8" s="1"/>
  <c r="E31" i="8"/>
  <c r="E22" i="8"/>
  <c r="J17" i="8"/>
  <c r="J22" i="8" s="1"/>
  <c r="K37" i="8"/>
  <c r="K12" i="8"/>
  <c r="E12" i="8"/>
  <c r="J8" i="8"/>
  <c r="B143" i="12"/>
  <c r="B143" i="11"/>
  <c r="B143" i="3"/>
  <c r="C143" i="12"/>
  <c r="C143" i="11"/>
  <c r="C143" i="3"/>
  <c r="D143" i="12"/>
  <c r="D143" i="11"/>
  <c r="D143" i="3"/>
  <c r="B79" i="12"/>
  <c r="D79" i="3"/>
  <c r="B60" i="2" s="1"/>
  <c r="B79" i="11"/>
  <c r="C79" i="11"/>
  <c r="C79" i="3"/>
  <c r="C79" i="12"/>
  <c r="E146" i="11"/>
  <c r="E147" i="11" s="1"/>
  <c r="F147" i="11" s="1"/>
  <c r="G147" i="11" s="1"/>
  <c r="H147" i="11" s="1"/>
  <c r="I147" i="11" s="1"/>
  <c r="J147" i="11" s="1"/>
  <c r="K147" i="11" s="1"/>
  <c r="L147" i="11" s="1"/>
  <c r="M147" i="11" s="1"/>
  <c r="N147" i="11" s="1"/>
  <c r="O147" i="11" s="1"/>
  <c r="P147" i="11" s="1"/>
  <c r="Q147" i="11" s="1"/>
  <c r="R147" i="11" s="1"/>
  <c r="S147" i="11" s="1"/>
  <c r="B158" i="11" s="1"/>
  <c r="C158" i="11" s="1"/>
  <c r="E146" i="3"/>
  <c r="E147" i="3" s="1"/>
  <c r="F147" i="3" s="1"/>
  <c r="G147" i="3" s="1"/>
  <c r="H147" i="3" s="1"/>
  <c r="I147" i="3" s="1"/>
  <c r="J147" i="3" s="1"/>
  <c r="K147" i="3" s="1"/>
  <c r="L147" i="3" s="1"/>
  <c r="M147" i="3" s="1"/>
  <c r="N147" i="3" s="1"/>
  <c r="O147" i="3" s="1"/>
  <c r="P147" i="3" s="1"/>
  <c r="Q147" i="3" s="1"/>
  <c r="R147" i="3" s="1"/>
  <c r="S147" i="3" s="1"/>
  <c r="B158" i="3" s="1"/>
  <c r="C158" i="3" s="1"/>
  <c r="E146" i="12"/>
  <c r="E147" i="12" s="1"/>
  <c r="F147" i="12" s="1"/>
  <c r="G147" i="12" s="1"/>
  <c r="H147" i="12" s="1"/>
  <c r="I147" i="12" s="1"/>
  <c r="J147" i="12" s="1"/>
  <c r="K147" i="12" s="1"/>
  <c r="L147" i="12" s="1"/>
  <c r="M147" i="12" s="1"/>
  <c r="N147" i="12" s="1"/>
  <c r="O147" i="12" s="1"/>
  <c r="P147" i="12" s="1"/>
  <c r="Q147" i="12" s="1"/>
  <c r="R147" i="12" s="1"/>
  <c r="S147" i="12" s="1"/>
  <c r="B158" i="12" s="1"/>
  <c r="C158" i="12" s="1"/>
  <c r="B183" i="12"/>
  <c r="B183" i="11"/>
  <c r="B183" i="3"/>
  <c r="M12" i="8"/>
  <c r="K38" i="8"/>
  <c r="B14" i="7" s="1"/>
  <c r="D58" i="9"/>
  <c r="D57" i="9"/>
  <c r="D56" i="9"/>
  <c r="D55" i="9"/>
  <c r="D54" i="9"/>
  <c r="D53" i="9"/>
  <c r="D52" i="9"/>
  <c r="D48" i="9"/>
  <c r="D47" i="9"/>
  <c r="D46" i="9"/>
  <c r="D45" i="9"/>
  <c r="D44" i="9"/>
  <c r="D43" i="9"/>
  <c r="B196" i="12"/>
  <c r="F196" i="12"/>
  <c r="E196" i="12"/>
  <c r="D196" i="12"/>
  <c r="C196" i="12"/>
  <c r="D188" i="12"/>
  <c r="F188" i="12"/>
  <c r="E188" i="12"/>
  <c r="B188" i="12"/>
  <c r="C188" i="12"/>
  <c r="F196" i="11"/>
  <c r="B196" i="11"/>
  <c r="C196" i="11"/>
  <c r="E196" i="11"/>
  <c r="D196" i="11"/>
  <c r="B188" i="11"/>
  <c r="F188" i="11"/>
  <c r="C188" i="11"/>
  <c r="E188" i="11"/>
  <c r="D188" i="11"/>
  <c r="B32" i="1"/>
  <c r="F28" i="7"/>
  <c r="E39" i="3" s="1"/>
  <c r="F29" i="7"/>
  <c r="E39" i="12" s="1"/>
  <c r="F27" i="7"/>
  <c r="E39" i="11" s="1"/>
  <c r="D111" i="3"/>
  <c r="D25" i="9"/>
  <c r="C111" i="3"/>
  <c r="C25" i="9"/>
  <c r="B111" i="3"/>
  <c r="B25" i="9"/>
  <c r="D110" i="3"/>
  <c r="D24" i="9"/>
  <c r="C110" i="3"/>
  <c r="C24" i="9"/>
  <c r="B110" i="3"/>
  <c r="B24" i="9"/>
  <c r="B55" i="2"/>
  <c r="D19" i="9"/>
  <c r="D67" i="3"/>
  <c r="D21" i="9"/>
  <c r="C67" i="3"/>
  <c r="C21" i="9"/>
  <c r="B67" i="3"/>
  <c r="B21" i="9"/>
  <c r="D196" i="3"/>
  <c r="D46" i="2" s="1"/>
  <c r="F196" i="3"/>
  <c r="F46" i="2" s="1"/>
  <c r="C196" i="3"/>
  <c r="C46" i="2" s="1"/>
  <c r="E196" i="3"/>
  <c r="E46" i="2" s="1"/>
  <c r="B196" i="3"/>
  <c r="B46" i="2" s="1"/>
  <c r="C188" i="3"/>
  <c r="C38" i="2" s="1"/>
  <c r="D188" i="3"/>
  <c r="D38" i="2" s="1"/>
  <c r="B188" i="3"/>
  <c r="B38" i="2" s="1"/>
  <c r="F188" i="3"/>
  <c r="F38" i="2" s="1"/>
  <c r="E188" i="3"/>
  <c r="E38" i="2" s="1"/>
  <c r="D81" i="3"/>
  <c r="B58" i="2" s="1"/>
  <c r="B57" i="2"/>
  <c r="D30" i="9"/>
  <c r="A8" i="1"/>
  <c r="B59" i="7"/>
  <c r="B62" i="7" s="1"/>
  <c r="B42" i="7"/>
  <c r="F9" i="2"/>
  <c r="E30" i="7"/>
  <c r="B23" i="7"/>
  <c r="B15" i="9"/>
  <c r="B16" i="2"/>
  <c r="E70" i="12"/>
  <c r="F70" i="12" s="1"/>
  <c r="G70" i="12" s="1"/>
  <c r="H70" i="12" s="1"/>
  <c r="I70" i="12" s="1"/>
  <c r="J70" i="12" s="1"/>
  <c r="K70" i="12" s="1"/>
  <c r="L70" i="12" s="1"/>
  <c r="M70" i="12" s="1"/>
  <c r="N70" i="12" s="1"/>
  <c r="O70" i="12" s="1"/>
  <c r="P70" i="12" s="1"/>
  <c r="Q70" i="12" s="1"/>
  <c r="R70" i="12" s="1"/>
  <c r="S70" i="12" s="1"/>
  <c r="S98" i="12"/>
  <c r="E70" i="11"/>
  <c r="F70" i="11" s="1"/>
  <c r="G70" i="11" s="1"/>
  <c r="H70" i="11" s="1"/>
  <c r="I70" i="11" s="1"/>
  <c r="J70" i="11" s="1"/>
  <c r="K70" i="11" s="1"/>
  <c r="L70" i="11" s="1"/>
  <c r="M70" i="11" s="1"/>
  <c r="N70" i="11" s="1"/>
  <c r="O70" i="11" s="1"/>
  <c r="P70" i="11" s="1"/>
  <c r="Q70" i="11" s="1"/>
  <c r="R70" i="11" s="1"/>
  <c r="S70" i="11" s="1"/>
  <c r="D116" i="12"/>
  <c r="D117" i="12" s="1"/>
  <c r="D119" i="12"/>
  <c r="D115" i="12"/>
  <c r="C119" i="12"/>
  <c r="C116" i="12"/>
  <c r="C117" i="12" s="1"/>
  <c r="C115" i="12"/>
  <c r="B116" i="12"/>
  <c r="B117" i="12" s="1"/>
  <c r="B115" i="12"/>
  <c r="B119" i="12"/>
  <c r="D109" i="12"/>
  <c r="D113" i="12" s="1"/>
  <c r="D101" i="12"/>
  <c r="C109" i="12"/>
  <c r="C113" i="12" s="1"/>
  <c r="C101" i="12"/>
  <c r="B101" i="12"/>
  <c r="B109" i="12"/>
  <c r="B113" i="12" s="1"/>
  <c r="D79" i="12"/>
  <c r="D80" i="12"/>
  <c r="D81" i="12" s="1"/>
  <c r="D66" i="12"/>
  <c r="D107" i="12"/>
  <c r="C66" i="12"/>
  <c r="C107" i="12"/>
  <c r="E57" i="12"/>
  <c r="E59" i="12"/>
  <c r="D59" i="12"/>
  <c r="D57" i="12"/>
  <c r="C58" i="12"/>
  <c r="C37" i="9" s="1"/>
  <c r="C59" i="12"/>
  <c r="B59" i="12"/>
  <c r="B58" i="12"/>
  <c r="B57" i="12"/>
  <c r="E97" i="12"/>
  <c r="E99" i="12" s="1"/>
  <c r="F96" i="12"/>
  <c r="F97" i="12" s="1"/>
  <c r="F99" i="12" s="1"/>
  <c r="D119" i="11"/>
  <c r="D116" i="11"/>
  <c r="D117" i="11" s="1"/>
  <c r="D115" i="11"/>
  <c r="C116" i="11"/>
  <c r="C117" i="11" s="1"/>
  <c r="C119" i="11"/>
  <c r="C115" i="11"/>
  <c r="B116" i="11"/>
  <c r="B117" i="11" s="1"/>
  <c r="B119" i="11"/>
  <c r="B115" i="11"/>
  <c r="D101" i="11"/>
  <c r="D109" i="11"/>
  <c r="D113" i="11" s="1"/>
  <c r="C109" i="11"/>
  <c r="C113" i="11" s="1"/>
  <c r="C101" i="11"/>
  <c r="B101" i="11"/>
  <c r="B109" i="11"/>
  <c r="B113" i="11" s="1"/>
  <c r="D80" i="11"/>
  <c r="D81" i="11" s="1"/>
  <c r="D79" i="11"/>
  <c r="D107" i="11"/>
  <c r="D66" i="11"/>
  <c r="C66" i="11"/>
  <c r="C107" i="11"/>
  <c r="E57" i="11"/>
  <c r="E59" i="11"/>
  <c r="D57" i="11"/>
  <c r="D59" i="11"/>
  <c r="C59" i="11"/>
  <c r="C58" i="11"/>
  <c r="C36" i="9" s="1"/>
  <c r="B57" i="11"/>
  <c r="B58" i="11"/>
  <c r="B59" i="11"/>
  <c r="E97" i="11"/>
  <c r="E99" i="11" s="1"/>
  <c r="F96" i="11"/>
  <c r="F97" i="11" s="1"/>
  <c r="F99" i="11" s="1"/>
  <c r="D115" i="3"/>
  <c r="D119" i="3"/>
  <c r="D28" i="9" s="1"/>
  <c r="D116" i="3"/>
  <c r="C115" i="3"/>
  <c r="C119" i="3"/>
  <c r="C28" i="9" s="1"/>
  <c r="C116" i="3"/>
  <c r="B119" i="3"/>
  <c r="B28" i="9" s="1"/>
  <c r="B115" i="3"/>
  <c r="B116" i="3"/>
  <c r="D109" i="3"/>
  <c r="D113" i="3" s="1"/>
  <c r="D101" i="3"/>
  <c r="C101" i="3"/>
  <c r="C109" i="3"/>
  <c r="C113" i="3" s="1"/>
  <c r="B109" i="3"/>
  <c r="B113" i="3" s="1"/>
  <c r="B101" i="3"/>
  <c r="D66" i="3"/>
  <c r="B56" i="2" s="1"/>
  <c r="D107" i="3"/>
  <c r="C66" i="3"/>
  <c r="C107" i="3"/>
  <c r="B107" i="3"/>
  <c r="B79" i="3"/>
  <c r="C59" i="3"/>
  <c r="C38" i="9" s="1"/>
  <c r="C58" i="3"/>
  <c r="B57" i="3"/>
  <c r="B58" i="3"/>
  <c r="B35" i="9" s="1"/>
  <c r="B59" i="3"/>
  <c r="B38" i="9" s="1"/>
  <c r="E97" i="3"/>
  <c r="E99" i="3" s="1"/>
  <c r="F96" i="3"/>
  <c r="F97" i="3" s="1"/>
  <c r="F99" i="3" s="1"/>
  <c r="F23" i="9" s="1"/>
  <c r="Y8" i="15" l="1"/>
  <c r="Z8" i="15"/>
  <c r="AC8" i="15" s="1"/>
  <c r="W9" i="15"/>
  <c r="Z18" i="15"/>
  <c r="Y18" i="15"/>
  <c r="W19" i="15"/>
  <c r="X19" i="15" s="1"/>
  <c r="Y14" i="15"/>
  <c r="W15" i="15"/>
  <c r="Z14" i="15"/>
  <c r="Y20" i="15"/>
  <c r="Z20" i="15"/>
  <c r="Z19" i="15"/>
  <c r="Y19" i="15"/>
  <c r="B36" i="14"/>
  <c r="B35" i="14"/>
  <c r="B37" i="14"/>
  <c r="B46" i="7"/>
  <c r="B51" i="7"/>
  <c r="J12" i="8"/>
  <c r="K36" i="8"/>
  <c r="B37" i="9"/>
  <c r="C57" i="12"/>
  <c r="D162" i="11"/>
  <c r="D162" i="12"/>
  <c r="C162" i="3"/>
  <c r="C32" i="2" s="1"/>
  <c r="B162" i="11"/>
  <c r="B162" i="3"/>
  <c r="B32" i="2" s="1"/>
  <c r="C162" i="11"/>
  <c r="C162" i="12"/>
  <c r="D162" i="3"/>
  <c r="D32" i="2" s="1"/>
  <c r="B162" i="12"/>
  <c r="F12" i="2"/>
  <c r="B31" i="1"/>
  <c r="B27" i="7"/>
  <c r="E38" i="11" s="1"/>
  <c r="B29" i="7"/>
  <c r="E38" i="12" s="1"/>
  <c r="B28" i="7"/>
  <c r="E38" i="3" s="1"/>
  <c r="C57" i="11"/>
  <c r="B36" i="9"/>
  <c r="D117" i="3"/>
  <c r="B61" i="2" s="1"/>
  <c r="D27" i="9"/>
  <c r="C117" i="3"/>
  <c r="C27" i="9"/>
  <c r="B117" i="3"/>
  <c r="B27" i="9"/>
  <c r="C35" i="9"/>
  <c r="B43" i="9"/>
  <c r="E23" i="9"/>
  <c r="B54" i="9"/>
  <c r="D120" i="12"/>
  <c r="D121" i="12"/>
  <c r="C120" i="12"/>
  <c r="C121" i="12"/>
  <c r="B120" i="12"/>
  <c r="B121" i="12"/>
  <c r="B60" i="12"/>
  <c r="F109" i="12"/>
  <c r="F100" i="12"/>
  <c r="F101" i="12" s="1"/>
  <c r="G96" i="12"/>
  <c r="G97" i="12" s="1"/>
  <c r="G99" i="12" s="1"/>
  <c r="E100" i="12"/>
  <c r="E101" i="12" s="1"/>
  <c r="E109" i="12"/>
  <c r="C60" i="12"/>
  <c r="D58" i="12"/>
  <c r="D37" i="9" s="1"/>
  <c r="D121" i="11"/>
  <c r="D120" i="11"/>
  <c r="C121" i="11"/>
  <c r="C120" i="11"/>
  <c r="B120" i="11"/>
  <c r="B121" i="11"/>
  <c r="B60" i="11"/>
  <c r="F100" i="11"/>
  <c r="F109" i="11"/>
  <c r="F101" i="11"/>
  <c r="G96" i="11"/>
  <c r="G97" i="11"/>
  <c r="G99" i="11" s="1"/>
  <c r="E100" i="11"/>
  <c r="E101" i="11" s="1"/>
  <c r="E109" i="11"/>
  <c r="C60" i="11"/>
  <c r="D58" i="11"/>
  <c r="D36" i="9" s="1"/>
  <c r="D121" i="3"/>
  <c r="D120" i="3"/>
  <c r="B62" i="2" s="1"/>
  <c r="C120" i="3"/>
  <c r="C121" i="3"/>
  <c r="B120" i="3"/>
  <c r="B121" i="3"/>
  <c r="D58" i="3"/>
  <c r="D35" i="9" s="1"/>
  <c r="C60" i="3"/>
  <c r="B60" i="3"/>
  <c r="C57" i="3"/>
  <c r="E109" i="3"/>
  <c r="E100" i="3"/>
  <c r="G96" i="3"/>
  <c r="G97" i="3" s="1"/>
  <c r="G99" i="3" s="1"/>
  <c r="G23" i="9" s="1"/>
  <c r="F100" i="3"/>
  <c r="F101" i="3" s="1"/>
  <c r="F109" i="3"/>
  <c r="X9" i="15" l="1"/>
  <c r="AC18" i="15"/>
  <c r="AJ18" i="15"/>
  <c r="AK18" i="15"/>
  <c r="AB18" i="15"/>
  <c r="AK14" i="15"/>
  <c r="AB14" i="15"/>
  <c r="X15" i="15"/>
  <c r="AC14" i="15"/>
  <c r="AJ14" i="15"/>
  <c r="AB20" i="15"/>
  <c r="AK20" i="15"/>
  <c r="AJ20" i="15"/>
  <c r="AC20" i="15"/>
  <c r="AF19" i="15"/>
  <c r="AC19" i="15"/>
  <c r="AG19" i="15"/>
  <c r="AB19" i="15"/>
  <c r="B52" i="7"/>
  <c r="C39" i="14"/>
  <c r="D39" i="14"/>
  <c r="E39" i="14"/>
  <c r="F39" i="14"/>
  <c r="G39" i="14"/>
  <c r="H39" i="14"/>
  <c r="P149" i="11"/>
  <c r="N149" i="11"/>
  <c r="K149" i="11"/>
  <c r="S149" i="11"/>
  <c r="M149" i="11"/>
  <c r="E149" i="11"/>
  <c r="Q149" i="11"/>
  <c r="G149" i="11"/>
  <c r="O149" i="11"/>
  <c r="J149" i="11"/>
  <c r="L149" i="11"/>
  <c r="H149" i="11"/>
  <c r="I149" i="11"/>
  <c r="R149" i="11"/>
  <c r="F149" i="11"/>
  <c r="A198" i="11"/>
  <c r="A192" i="11"/>
  <c r="A190" i="11"/>
  <c r="A197" i="11"/>
  <c r="A189" i="11"/>
  <c r="A191" i="11"/>
  <c r="A200" i="11"/>
  <c r="A199" i="11"/>
  <c r="A201" i="11"/>
  <c r="A193" i="11"/>
  <c r="R149" i="12"/>
  <c r="I149" i="12"/>
  <c r="S149" i="12"/>
  <c r="Q149" i="12"/>
  <c r="F149" i="12"/>
  <c r="G149" i="12"/>
  <c r="P149" i="12"/>
  <c r="J149" i="12"/>
  <c r="O149" i="12"/>
  <c r="E149" i="12"/>
  <c r="N149" i="12"/>
  <c r="M149" i="12"/>
  <c r="K149" i="12"/>
  <c r="H149" i="12"/>
  <c r="L149" i="12"/>
  <c r="A193" i="12"/>
  <c r="A192" i="12"/>
  <c r="A191" i="12"/>
  <c r="A190" i="12"/>
  <c r="A189" i="12"/>
  <c r="A201" i="12"/>
  <c r="A200" i="12"/>
  <c r="A199" i="12"/>
  <c r="A198" i="12"/>
  <c r="A197" i="12"/>
  <c r="O149" i="3"/>
  <c r="Q149" i="3"/>
  <c r="L149" i="3"/>
  <c r="S149" i="3"/>
  <c r="J149" i="3"/>
  <c r="G149" i="3"/>
  <c r="P149" i="3"/>
  <c r="F149" i="3"/>
  <c r="K149" i="3"/>
  <c r="I149" i="3"/>
  <c r="H149" i="3"/>
  <c r="M149" i="3"/>
  <c r="E149" i="3"/>
  <c r="N149" i="3"/>
  <c r="R149" i="3"/>
  <c r="A191" i="3"/>
  <c r="A41" i="2" s="1"/>
  <c r="A199" i="3"/>
  <c r="A49" i="2" s="1"/>
  <c r="A201" i="3"/>
  <c r="A51" i="2" s="1"/>
  <c r="A193" i="3"/>
  <c r="A43" i="2" s="1"/>
  <c r="A200" i="3"/>
  <c r="A50" i="2" s="1"/>
  <c r="A198" i="3"/>
  <c r="A48" i="2" s="1"/>
  <c r="A192" i="3"/>
  <c r="A42" i="2" s="1"/>
  <c r="A189" i="3"/>
  <c r="A39" i="2" s="1"/>
  <c r="A197" i="3"/>
  <c r="A47" i="2" s="1"/>
  <c r="A190" i="3"/>
  <c r="A40" i="2" s="1"/>
  <c r="E101" i="3"/>
  <c r="B58" i="9"/>
  <c r="G109" i="12"/>
  <c r="G100" i="12"/>
  <c r="G101" i="12" s="1"/>
  <c r="H96" i="12"/>
  <c r="H97" i="12" s="1"/>
  <c r="H99" i="12" s="1"/>
  <c r="E58" i="12"/>
  <c r="E37" i="9" s="1"/>
  <c r="D60" i="12"/>
  <c r="H96" i="11"/>
  <c r="H97" i="11" s="1"/>
  <c r="H99" i="11" s="1"/>
  <c r="G100" i="11"/>
  <c r="G101" i="11" s="1"/>
  <c r="G109" i="11"/>
  <c r="E58" i="11"/>
  <c r="E36" i="9" s="1"/>
  <c r="D60" i="11"/>
  <c r="D60" i="3"/>
  <c r="E58" i="3"/>
  <c r="E35" i="9" s="1"/>
  <c r="G109" i="3"/>
  <c r="G100" i="3"/>
  <c r="G101" i="3"/>
  <c r="H96" i="3"/>
  <c r="H97" i="3" s="1"/>
  <c r="H99" i="3" s="1"/>
  <c r="H23" i="9" s="1"/>
  <c r="W10" i="15" l="1"/>
  <c r="Z9" i="15"/>
  <c r="Y9" i="15"/>
  <c r="W16" i="15"/>
  <c r="Z15" i="15"/>
  <c r="Y15" i="15"/>
  <c r="D164" i="11"/>
  <c r="C164" i="3"/>
  <c r="C34" i="2" s="1"/>
  <c r="B34" i="1"/>
  <c r="C164" i="12"/>
  <c r="D164" i="3"/>
  <c r="D34" i="2" s="1"/>
  <c r="D164" i="12"/>
  <c r="C164" i="11"/>
  <c r="B164" i="12"/>
  <c r="B174" i="12" s="1"/>
  <c r="B175" i="12" s="1"/>
  <c r="B164" i="11"/>
  <c r="B174" i="11" s="1"/>
  <c r="B175" i="11" s="1"/>
  <c r="B164" i="3"/>
  <c r="B39" i="14"/>
  <c r="H109" i="12"/>
  <c r="H100" i="12"/>
  <c r="H101" i="12" s="1"/>
  <c r="I96" i="12"/>
  <c r="I97" i="12"/>
  <c r="I99" i="12" s="1"/>
  <c r="F58" i="12"/>
  <c r="E60" i="12"/>
  <c r="H100" i="11"/>
  <c r="H101" i="11" s="1"/>
  <c r="H109" i="11"/>
  <c r="I96" i="11"/>
  <c r="I97" i="11" s="1"/>
  <c r="I99" i="11" s="1"/>
  <c r="F58" i="11"/>
  <c r="E60" i="11"/>
  <c r="F58" i="3"/>
  <c r="E60" i="3"/>
  <c r="H100" i="3"/>
  <c r="H101" i="3" s="1"/>
  <c r="H109" i="3"/>
  <c r="I96" i="3"/>
  <c r="I97" i="3" s="1"/>
  <c r="I99" i="3" s="1"/>
  <c r="I23" i="9" s="1"/>
  <c r="X10" i="15" l="1"/>
  <c r="Y10" i="15"/>
  <c r="AB10" i="15" s="1"/>
  <c r="AF9" i="15"/>
  <c r="AC9" i="15"/>
  <c r="AB9" i="15"/>
  <c r="AG9" i="15"/>
  <c r="X16" i="15"/>
  <c r="W17" i="15" s="1"/>
  <c r="Y16" i="15"/>
  <c r="Z16" i="15"/>
  <c r="AC15" i="15"/>
  <c r="AH15" i="15"/>
  <c r="AB15" i="15"/>
  <c r="AI15" i="15"/>
  <c r="B40" i="14"/>
  <c r="B41" i="14"/>
  <c r="B174" i="3"/>
  <c r="B175" i="3" s="1"/>
  <c r="B34" i="2"/>
  <c r="E65" i="12"/>
  <c r="F37" i="9"/>
  <c r="E65" i="11"/>
  <c r="F36" i="9"/>
  <c r="E65" i="3"/>
  <c r="F35" i="9"/>
  <c r="J96" i="12"/>
  <c r="J97" i="12"/>
  <c r="J99" i="12" s="1"/>
  <c r="I100" i="12"/>
  <c r="I101" i="12" s="1"/>
  <c r="I109" i="12"/>
  <c r="E64" i="12"/>
  <c r="E63" i="12" s="1"/>
  <c r="F63" i="12" s="1"/>
  <c r="E51" i="12"/>
  <c r="E138" i="12"/>
  <c r="E76" i="12"/>
  <c r="E139" i="12"/>
  <c r="E107" i="12"/>
  <c r="E71" i="12"/>
  <c r="E72" i="12" s="1"/>
  <c r="E68" i="12"/>
  <c r="E104" i="12"/>
  <c r="E73" i="12"/>
  <c r="E69" i="12"/>
  <c r="E77" i="12"/>
  <c r="E66" i="12"/>
  <c r="J96" i="11"/>
  <c r="J97" i="11" s="1"/>
  <c r="J99" i="11" s="1"/>
  <c r="I109" i="11"/>
  <c r="I100" i="11"/>
  <c r="I101" i="11" s="1"/>
  <c r="E71" i="11"/>
  <c r="E72" i="11" s="1"/>
  <c r="E107" i="11"/>
  <c r="E104" i="11"/>
  <c r="E68" i="11"/>
  <c r="E76" i="11"/>
  <c r="E69" i="11"/>
  <c r="E138" i="11"/>
  <c r="E51" i="11"/>
  <c r="E77" i="11"/>
  <c r="E73" i="11"/>
  <c r="E66" i="11"/>
  <c r="E64" i="11"/>
  <c r="E63" i="11" s="1"/>
  <c r="F63" i="11" s="1"/>
  <c r="E139" i="11"/>
  <c r="E68" i="3"/>
  <c r="E107" i="3"/>
  <c r="E77" i="3"/>
  <c r="E104" i="3"/>
  <c r="E71" i="3"/>
  <c r="E51" i="3"/>
  <c r="B45" i="9" s="1"/>
  <c r="E66" i="3"/>
  <c r="C56" i="2" s="1"/>
  <c r="E76" i="3"/>
  <c r="E78" i="3" s="1"/>
  <c r="E64" i="3"/>
  <c r="E21" i="9" s="1"/>
  <c r="E69" i="3"/>
  <c r="E138" i="3"/>
  <c r="E139" i="3"/>
  <c r="J96" i="3"/>
  <c r="J97" i="3" s="1"/>
  <c r="J99" i="3" s="1"/>
  <c r="I109" i="3"/>
  <c r="I100" i="3"/>
  <c r="I101" i="3" s="1"/>
  <c r="E80" i="3"/>
  <c r="E79" i="3"/>
  <c r="C60" i="2" s="1"/>
  <c r="W11" i="15" l="1"/>
  <c r="Z10" i="15"/>
  <c r="X17" i="15"/>
  <c r="AG16" i="15"/>
  <c r="AB16" i="15"/>
  <c r="AF16" i="15"/>
  <c r="AC16" i="15"/>
  <c r="E19" i="9"/>
  <c r="B52" i="9"/>
  <c r="C55" i="2"/>
  <c r="B24" i="1"/>
  <c r="E30" i="9"/>
  <c r="C57" i="2"/>
  <c r="K96" i="12"/>
  <c r="K97" i="12" s="1"/>
  <c r="K99" i="12" s="1"/>
  <c r="J100" i="12"/>
  <c r="J101" i="12" s="1"/>
  <c r="J109" i="12"/>
  <c r="E67" i="12"/>
  <c r="F64" i="12"/>
  <c r="F65" i="12" s="1"/>
  <c r="G63" i="12"/>
  <c r="E102" i="12"/>
  <c r="E110" i="12" s="1"/>
  <c r="E103" i="12"/>
  <c r="E111" i="12" s="1"/>
  <c r="E78" i="12"/>
  <c r="J100" i="11"/>
  <c r="J101" i="11"/>
  <c r="J109" i="11"/>
  <c r="K96" i="11"/>
  <c r="K97" i="11"/>
  <c r="K99" i="11" s="1"/>
  <c r="G63" i="11"/>
  <c r="E102" i="11"/>
  <c r="E110" i="11" s="1"/>
  <c r="E103" i="11"/>
  <c r="E111" i="11" s="1"/>
  <c r="F64" i="11"/>
  <c r="F65" i="11" s="1"/>
  <c r="E67" i="11"/>
  <c r="E78" i="11"/>
  <c r="E73" i="3"/>
  <c r="E72" i="3"/>
  <c r="E102" i="3"/>
  <c r="E103" i="3"/>
  <c r="F64" i="3"/>
  <c r="F21" i="9" s="1"/>
  <c r="E67" i="3"/>
  <c r="E63" i="3"/>
  <c r="J100" i="3"/>
  <c r="J101" i="3" s="1"/>
  <c r="J109" i="3"/>
  <c r="K96" i="3"/>
  <c r="K97" i="3" s="1"/>
  <c r="K99" i="3" s="1"/>
  <c r="E83" i="3"/>
  <c r="E84" i="3" s="1"/>
  <c r="E81" i="3"/>
  <c r="C58" i="2" s="1"/>
  <c r="X11" i="15" l="1"/>
  <c r="AF10" i="15"/>
  <c r="AC10" i="15"/>
  <c r="AG10" i="15"/>
  <c r="Y17" i="15"/>
  <c r="Z17" i="15"/>
  <c r="E110" i="3"/>
  <c r="E24" i="9"/>
  <c r="B46" i="9"/>
  <c r="B55" i="9"/>
  <c r="E111" i="3"/>
  <c r="B56" i="9"/>
  <c r="E25" i="9"/>
  <c r="B47" i="9"/>
  <c r="F63" i="3"/>
  <c r="E20" i="9"/>
  <c r="K109" i="12"/>
  <c r="K100" i="12"/>
  <c r="K101" i="12" s="1"/>
  <c r="L96" i="12"/>
  <c r="L97" i="12" s="1"/>
  <c r="L99" i="12" s="1"/>
  <c r="F67" i="12"/>
  <c r="G64" i="12"/>
  <c r="F71" i="12"/>
  <c r="F72" i="12" s="1"/>
  <c r="F103" i="12"/>
  <c r="F111" i="12" s="1"/>
  <c r="F107" i="12"/>
  <c r="F69" i="12"/>
  <c r="F104" i="12"/>
  <c r="F102" i="12"/>
  <c r="F110" i="12" s="1"/>
  <c r="F68" i="12"/>
  <c r="F66" i="12"/>
  <c r="F73" i="12"/>
  <c r="F76" i="12"/>
  <c r="F138" i="12"/>
  <c r="F139" i="12"/>
  <c r="F77" i="12"/>
  <c r="G65" i="12"/>
  <c r="H63" i="12"/>
  <c r="E79" i="12"/>
  <c r="E80" i="12"/>
  <c r="L96" i="11"/>
  <c r="L97" i="11" s="1"/>
  <c r="L99" i="11" s="1"/>
  <c r="K100" i="11"/>
  <c r="K101" i="11" s="1"/>
  <c r="K109" i="11"/>
  <c r="F66" i="11"/>
  <c r="F103" i="11"/>
  <c r="F111" i="11" s="1"/>
  <c r="F104" i="11"/>
  <c r="F68" i="11"/>
  <c r="F69" i="11"/>
  <c r="F77" i="11"/>
  <c r="F102" i="11"/>
  <c r="F110" i="11" s="1"/>
  <c r="F107" i="11"/>
  <c r="F71" i="11"/>
  <c r="F72" i="11" s="1"/>
  <c r="F76" i="11"/>
  <c r="F78" i="11" s="1"/>
  <c r="F139" i="11"/>
  <c r="F138" i="11"/>
  <c r="F73" i="11"/>
  <c r="H63" i="11"/>
  <c r="F67" i="11"/>
  <c r="G64" i="11"/>
  <c r="G65" i="11" s="1"/>
  <c r="E79" i="11"/>
  <c r="E80" i="11"/>
  <c r="G64" i="3"/>
  <c r="G21" i="9" s="1"/>
  <c r="F65" i="3"/>
  <c r="K109" i="3"/>
  <c r="K100" i="3"/>
  <c r="K101" i="3" s="1"/>
  <c r="L96" i="3"/>
  <c r="L97" i="3" s="1"/>
  <c r="L99" i="3" s="1"/>
  <c r="E92" i="3"/>
  <c r="E137" i="3" s="1"/>
  <c r="E85" i="3"/>
  <c r="E89" i="3" s="1"/>
  <c r="W12" i="15" l="1"/>
  <c r="Z11" i="15"/>
  <c r="AC11" i="15" s="1"/>
  <c r="Y11" i="15"/>
  <c r="AB11" i="15" s="1"/>
  <c r="AB17" i="15"/>
  <c r="AG17" i="15"/>
  <c r="AC17" i="15"/>
  <c r="AF17" i="15"/>
  <c r="F20" i="9"/>
  <c r="G63" i="3"/>
  <c r="F67" i="3"/>
  <c r="K39" i="8"/>
  <c r="D55" i="2"/>
  <c r="F19" i="9"/>
  <c r="E142" i="3"/>
  <c r="E31" i="9"/>
  <c r="L109" i="12"/>
  <c r="L100" i="12"/>
  <c r="L101" i="12" s="1"/>
  <c r="M96" i="12"/>
  <c r="M97" i="12"/>
  <c r="M99" i="12" s="1"/>
  <c r="G67" i="12"/>
  <c r="H64" i="12"/>
  <c r="G66" i="12"/>
  <c r="G71" i="12"/>
  <c r="G72" i="12" s="1"/>
  <c r="G104" i="12"/>
  <c r="G69" i="12"/>
  <c r="G139" i="12"/>
  <c r="G68" i="12"/>
  <c r="G73" i="12"/>
  <c r="G102" i="12"/>
  <c r="G110" i="12" s="1"/>
  <c r="G103" i="12"/>
  <c r="G111" i="12" s="1"/>
  <c r="G138" i="12"/>
  <c r="G76" i="12"/>
  <c r="G77" i="12"/>
  <c r="G107" i="12"/>
  <c r="H65" i="12"/>
  <c r="I63" i="12"/>
  <c r="E81" i="12"/>
  <c r="E83" i="12"/>
  <c r="E84" i="12" s="1"/>
  <c r="F78" i="12"/>
  <c r="L109" i="11"/>
  <c r="L100" i="11"/>
  <c r="L101" i="11" s="1"/>
  <c r="M96" i="11"/>
  <c r="M97" i="11"/>
  <c r="M99" i="11" s="1"/>
  <c r="F80" i="11"/>
  <c r="F79" i="11"/>
  <c r="I63" i="11"/>
  <c r="G103" i="11"/>
  <c r="G111" i="11" s="1"/>
  <c r="G107" i="11"/>
  <c r="G69" i="11"/>
  <c r="G77" i="11"/>
  <c r="G71" i="11"/>
  <c r="G139" i="11"/>
  <c r="G66" i="11"/>
  <c r="G68" i="11"/>
  <c r="G76" i="11"/>
  <c r="G78" i="11" s="1"/>
  <c r="G102" i="11"/>
  <c r="G110" i="11" s="1"/>
  <c r="G138" i="11"/>
  <c r="G104" i="11"/>
  <c r="G67" i="11"/>
  <c r="H64" i="11"/>
  <c r="H65" i="11" s="1"/>
  <c r="E81" i="11"/>
  <c r="E83" i="11"/>
  <c r="E84" i="11" s="1"/>
  <c r="H64" i="3"/>
  <c r="H21" i="9" s="1"/>
  <c r="G65" i="3"/>
  <c r="F139" i="3"/>
  <c r="F76" i="3"/>
  <c r="F77" i="3"/>
  <c r="F68" i="3"/>
  <c r="F103" i="3"/>
  <c r="F138" i="3"/>
  <c r="F104" i="3"/>
  <c r="F71" i="3"/>
  <c r="F102" i="3"/>
  <c r="F69" i="3"/>
  <c r="F66" i="3"/>
  <c r="F107" i="3"/>
  <c r="L109" i="3"/>
  <c r="L100" i="3"/>
  <c r="L101" i="3"/>
  <c r="M96" i="3"/>
  <c r="M97" i="3" s="1"/>
  <c r="M99" i="3" s="1"/>
  <c r="E87" i="3"/>
  <c r="E86" i="3"/>
  <c r="C59" i="2" s="1"/>
  <c r="E90" i="3"/>
  <c r="E88" i="3"/>
  <c r="E91" i="3"/>
  <c r="E118" i="3" s="1"/>
  <c r="E136" i="3" s="1"/>
  <c r="F82" i="3"/>
  <c r="X12" i="15" l="1"/>
  <c r="Y12" i="15" s="1"/>
  <c r="AB12" i="15" s="1"/>
  <c r="G20" i="9"/>
  <c r="H63" i="3"/>
  <c r="K43" i="8"/>
  <c r="B24" i="2" s="1"/>
  <c r="K41" i="8"/>
  <c r="K42" i="8" s="1"/>
  <c r="G67" i="3"/>
  <c r="E55" i="2"/>
  <c r="G19" i="9"/>
  <c r="F111" i="3"/>
  <c r="F25" i="9"/>
  <c r="F110" i="3"/>
  <c r="F24" i="9"/>
  <c r="D56" i="2"/>
  <c r="B25" i="1"/>
  <c r="G78" i="12"/>
  <c r="N96" i="12"/>
  <c r="N97" i="12"/>
  <c r="N99" i="12" s="1"/>
  <c r="M100" i="12"/>
  <c r="M101" i="12" s="1"/>
  <c r="M109" i="12"/>
  <c r="I64" i="12"/>
  <c r="H67" i="12"/>
  <c r="G79" i="12"/>
  <c r="G80" i="12"/>
  <c r="H103" i="12"/>
  <c r="H111" i="12" s="1"/>
  <c r="H68" i="12"/>
  <c r="H102" i="12"/>
  <c r="H110" i="12" s="1"/>
  <c r="H71" i="12"/>
  <c r="H107" i="12"/>
  <c r="H66" i="12"/>
  <c r="H77" i="12"/>
  <c r="H76" i="12"/>
  <c r="H78" i="12" s="1"/>
  <c r="H138" i="12"/>
  <c r="H139" i="12"/>
  <c r="H69" i="12"/>
  <c r="H104" i="12"/>
  <c r="J63" i="12"/>
  <c r="I65" i="12"/>
  <c r="E85" i="12"/>
  <c r="E89" i="12" s="1"/>
  <c r="E92" i="12"/>
  <c r="E137" i="12" s="1"/>
  <c r="E142" i="12" s="1"/>
  <c r="F80" i="12"/>
  <c r="F79" i="12"/>
  <c r="N96" i="11"/>
  <c r="N97" i="11" s="1"/>
  <c r="N99" i="11" s="1"/>
  <c r="M100" i="11"/>
  <c r="M101" i="11" s="1"/>
  <c r="M109" i="11"/>
  <c r="F81" i="11"/>
  <c r="F83" i="11"/>
  <c r="F84" i="11" s="1"/>
  <c r="J63" i="11"/>
  <c r="H66" i="11"/>
  <c r="H104" i="11"/>
  <c r="H77" i="11"/>
  <c r="H103" i="11"/>
  <c r="H111" i="11" s="1"/>
  <c r="H69" i="11"/>
  <c r="H107" i="11"/>
  <c r="H139" i="11"/>
  <c r="H71" i="11"/>
  <c r="H72" i="11" s="1"/>
  <c r="H102" i="11"/>
  <c r="H110" i="11" s="1"/>
  <c r="H68" i="11"/>
  <c r="H73" i="11"/>
  <c r="H76" i="11"/>
  <c r="H138" i="11"/>
  <c r="G79" i="11"/>
  <c r="G80" i="11"/>
  <c r="H67" i="11"/>
  <c r="I64" i="11"/>
  <c r="I65" i="11" s="1"/>
  <c r="E85" i="11"/>
  <c r="E89" i="11" s="1"/>
  <c r="E92" i="11"/>
  <c r="E137" i="11" s="1"/>
  <c r="E142" i="11" s="1"/>
  <c r="G72" i="11"/>
  <c r="G73" i="11"/>
  <c r="I64" i="3"/>
  <c r="I21" i="9" s="1"/>
  <c r="G107" i="3"/>
  <c r="G66" i="3"/>
  <c r="E56" i="2" s="1"/>
  <c r="G71" i="3"/>
  <c r="G68" i="3"/>
  <c r="G138" i="3"/>
  <c r="G77" i="3"/>
  <c r="G76" i="3"/>
  <c r="G104" i="3"/>
  <c r="G103" i="3"/>
  <c r="G139" i="3"/>
  <c r="G102" i="3"/>
  <c r="G69" i="3"/>
  <c r="F78" i="3"/>
  <c r="F72" i="3"/>
  <c r="F73" i="3"/>
  <c r="M109" i="3"/>
  <c r="M100" i="3"/>
  <c r="M101" i="3" s="1"/>
  <c r="N96" i="3"/>
  <c r="N97" i="3" s="1"/>
  <c r="N99" i="3" s="1"/>
  <c r="E108" i="3"/>
  <c r="E93" i="3"/>
  <c r="Z12" i="15" l="1"/>
  <c r="W13" i="15"/>
  <c r="H78" i="11"/>
  <c r="H20" i="9"/>
  <c r="H65" i="3"/>
  <c r="I63" i="3"/>
  <c r="H67" i="3"/>
  <c r="H19" i="9"/>
  <c r="G111" i="3"/>
  <c r="G25" i="9"/>
  <c r="G110" i="3"/>
  <c r="G24" i="9"/>
  <c r="E113" i="3"/>
  <c r="E114" i="3" s="1"/>
  <c r="E26" i="9" s="1"/>
  <c r="B53" i="9"/>
  <c r="B44" i="9"/>
  <c r="B48" i="9" s="1"/>
  <c r="E22" i="9"/>
  <c r="O96" i="12"/>
  <c r="O97" i="12" s="1"/>
  <c r="O99" i="12" s="1"/>
  <c r="N109" i="12"/>
  <c r="N100" i="12"/>
  <c r="N101" i="12" s="1"/>
  <c r="J64" i="12"/>
  <c r="I67" i="12"/>
  <c r="G83" i="12"/>
  <c r="G84" i="12" s="1"/>
  <c r="G81" i="12"/>
  <c r="H79" i="12"/>
  <c r="H80" i="12"/>
  <c r="J65" i="12"/>
  <c r="K63" i="12"/>
  <c r="I68" i="12"/>
  <c r="I102" i="12"/>
  <c r="I110" i="12" s="1"/>
  <c r="I66" i="12"/>
  <c r="I71" i="12"/>
  <c r="I76" i="12"/>
  <c r="I103" i="12"/>
  <c r="I111" i="12" s="1"/>
  <c r="I104" i="12"/>
  <c r="I69" i="12"/>
  <c r="I139" i="12"/>
  <c r="I77" i="12"/>
  <c r="I107" i="12"/>
  <c r="I138" i="12"/>
  <c r="E87" i="12"/>
  <c r="E86" i="12"/>
  <c r="E88" i="12"/>
  <c r="F82" i="12"/>
  <c r="E91" i="12"/>
  <c r="E118" i="12" s="1"/>
  <c r="E136" i="12" s="1"/>
  <c r="E90" i="12"/>
  <c r="F83" i="12"/>
  <c r="F84" i="12" s="1"/>
  <c r="F92" i="12" s="1"/>
  <c r="F137" i="12" s="1"/>
  <c r="F142" i="12" s="1"/>
  <c r="F81" i="12"/>
  <c r="H72" i="12"/>
  <c r="H73" i="12"/>
  <c r="N100" i="11"/>
  <c r="N101" i="11" s="1"/>
  <c r="N109" i="11"/>
  <c r="O96" i="11"/>
  <c r="O97" i="11"/>
  <c r="O99" i="11" s="1"/>
  <c r="K63" i="11"/>
  <c r="I104" i="11"/>
  <c r="I66" i="11"/>
  <c r="I69" i="11"/>
  <c r="I138" i="11"/>
  <c r="I77" i="11"/>
  <c r="I103" i="11"/>
  <c r="I111" i="11" s="1"/>
  <c r="I107" i="11"/>
  <c r="I76" i="11"/>
  <c r="I78" i="11" s="1"/>
  <c r="I68" i="11"/>
  <c r="I71" i="11"/>
  <c r="I139" i="11"/>
  <c r="I102" i="11"/>
  <c r="I110" i="11" s="1"/>
  <c r="H80" i="11"/>
  <c r="H79" i="11"/>
  <c r="G83" i="11"/>
  <c r="G84" i="11" s="1"/>
  <c r="G81" i="11"/>
  <c r="I67" i="11"/>
  <c r="J64" i="11"/>
  <c r="J65" i="11" s="1"/>
  <c r="E87" i="11"/>
  <c r="E86" i="11"/>
  <c r="E90" i="11"/>
  <c r="E91" i="11"/>
  <c r="E118" i="11" s="1"/>
  <c r="E136" i="11" s="1"/>
  <c r="E88" i="11"/>
  <c r="F82" i="11"/>
  <c r="J64" i="3"/>
  <c r="I65" i="3"/>
  <c r="H107" i="3"/>
  <c r="H71" i="3"/>
  <c r="H66" i="3"/>
  <c r="H103" i="3"/>
  <c r="H102" i="3"/>
  <c r="H104" i="3"/>
  <c r="H139" i="3"/>
  <c r="H77" i="3"/>
  <c r="H69" i="3"/>
  <c r="H138" i="3"/>
  <c r="H68" i="3"/>
  <c r="H76" i="3"/>
  <c r="H78" i="3" s="1"/>
  <c r="F80" i="3"/>
  <c r="F79" i="3"/>
  <c r="D60" i="2" s="1"/>
  <c r="G78" i="3"/>
  <c r="G72" i="3"/>
  <c r="G73" i="3"/>
  <c r="N109" i="3"/>
  <c r="N100" i="3"/>
  <c r="N101" i="3" s="1"/>
  <c r="O96" i="3"/>
  <c r="O97" i="3"/>
  <c r="O99" i="3" s="1"/>
  <c r="E119" i="3"/>
  <c r="E115" i="3"/>
  <c r="E116" i="3"/>
  <c r="AF12" i="15" l="1"/>
  <c r="AC12" i="15"/>
  <c r="AG12" i="15"/>
  <c r="X13" i="15"/>
  <c r="J63" i="3"/>
  <c r="K63" i="3" s="1"/>
  <c r="L63" i="3" s="1"/>
  <c r="M63" i="3" s="1"/>
  <c r="I20" i="9"/>
  <c r="I67" i="3"/>
  <c r="F55" i="2"/>
  <c r="B26" i="1"/>
  <c r="I19" i="9"/>
  <c r="H111" i="3"/>
  <c r="H25" i="9"/>
  <c r="H110" i="3"/>
  <c r="H24" i="9"/>
  <c r="D57" i="2"/>
  <c r="F30" i="9"/>
  <c r="B57" i="9"/>
  <c r="E28" i="9"/>
  <c r="E117" i="3"/>
  <c r="C61" i="2" s="1"/>
  <c r="E27" i="9"/>
  <c r="O100" i="12"/>
  <c r="O109" i="12"/>
  <c r="O101" i="12"/>
  <c r="P96" i="12"/>
  <c r="P97" i="12"/>
  <c r="P99" i="12" s="1"/>
  <c r="J67" i="12"/>
  <c r="K64" i="12"/>
  <c r="H81" i="12"/>
  <c r="H83" i="12"/>
  <c r="H84" i="12" s="1"/>
  <c r="J107" i="12"/>
  <c r="J68" i="12"/>
  <c r="J102" i="12"/>
  <c r="J110" i="12" s="1"/>
  <c r="J103" i="12"/>
  <c r="J111" i="12" s="1"/>
  <c r="J139" i="12"/>
  <c r="J66" i="12"/>
  <c r="J71" i="12"/>
  <c r="J72" i="12" s="1"/>
  <c r="J104" i="12"/>
  <c r="J138" i="12"/>
  <c r="J69" i="12"/>
  <c r="J73" i="12"/>
  <c r="J76" i="12"/>
  <c r="J77" i="12"/>
  <c r="L63" i="12"/>
  <c r="K65" i="12"/>
  <c r="E108" i="12"/>
  <c r="E113" i="12" s="1"/>
  <c r="E114" i="12" s="1"/>
  <c r="E93" i="12"/>
  <c r="F85" i="12"/>
  <c r="F89" i="12" s="1"/>
  <c r="I78" i="12"/>
  <c r="I72" i="12"/>
  <c r="I73" i="12"/>
  <c r="P96" i="11"/>
  <c r="P97" i="11" s="1"/>
  <c r="P99" i="11" s="1"/>
  <c r="O100" i="11"/>
  <c r="O101" i="11"/>
  <c r="O109" i="11"/>
  <c r="J68" i="11"/>
  <c r="J69" i="11"/>
  <c r="J76" i="11"/>
  <c r="J103" i="11"/>
  <c r="J111" i="11" s="1"/>
  <c r="J138" i="11"/>
  <c r="J139" i="11"/>
  <c r="J71" i="11"/>
  <c r="J72" i="11" s="1"/>
  <c r="J102" i="11"/>
  <c r="J110" i="11" s="1"/>
  <c r="J77" i="11"/>
  <c r="J104" i="11"/>
  <c r="J107" i="11"/>
  <c r="J66" i="11"/>
  <c r="J73" i="11"/>
  <c r="L63" i="11"/>
  <c r="I79" i="11"/>
  <c r="I80" i="11"/>
  <c r="H83" i="11"/>
  <c r="H84" i="11" s="1"/>
  <c r="H81" i="11"/>
  <c r="K64" i="11"/>
  <c r="K65" i="11" s="1"/>
  <c r="J67" i="11"/>
  <c r="E108" i="11"/>
  <c r="E113" i="11" s="1"/>
  <c r="E114" i="11" s="1"/>
  <c r="E93" i="11"/>
  <c r="F92" i="11"/>
  <c r="F137" i="11" s="1"/>
  <c r="F142" i="11" s="1"/>
  <c r="F85" i="11"/>
  <c r="F89" i="11" s="1"/>
  <c r="I72" i="11"/>
  <c r="I73" i="11"/>
  <c r="K64" i="3"/>
  <c r="J65" i="3"/>
  <c r="J67" i="3" s="1"/>
  <c r="I107" i="3"/>
  <c r="I102" i="3"/>
  <c r="I66" i="3"/>
  <c r="F56" i="2" s="1"/>
  <c r="I103" i="3"/>
  <c r="I77" i="3"/>
  <c r="I71" i="3"/>
  <c r="I72" i="3" s="1"/>
  <c r="I139" i="3"/>
  <c r="I138" i="3"/>
  <c r="I104" i="3"/>
  <c r="I76" i="3"/>
  <c r="I78" i="3" s="1"/>
  <c r="I73" i="3"/>
  <c r="I69" i="3"/>
  <c r="I68" i="3"/>
  <c r="H79" i="3"/>
  <c r="H80" i="3"/>
  <c r="H30" i="9" s="1"/>
  <c r="F81" i="3"/>
  <c r="D58" i="2" s="1"/>
  <c r="F83" i="3"/>
  <c r="F84" i="3" s="1"/>
  <c r="G79" i="3"/>
  <c r="E60" i="2" s="1"/>
  <c r="G80" i="3"/>
  <c r="H72" i="3"/>
  <c r="H73" i="3"/>
  <c r="P96" i="3"/>
  <c r="P97" i="3" s="1"/>
  <c r="P99" i="3" s="1"/>
  <c r="O109" i="3"/>
  <c r="O100" i="3"/>
  <c r="O101" i="3" s="1"/>
  <c r="N63" i="3"/>
  <c r="E133" i="3"/>
  <c r="E126" i="3"/>
  <c r="E125" i="3"/>
  <c r="E120" i="3"/>
  <c r="C62" i="2" s="1"/>
  <c r="Y13" i="15" l="1"/>
  <c r="Z13" i="15"/>
  <c r="I110" i="3"/>
  <c r="I24" i="9"/>
  <c r="I111" i="3"/>
  <c r="I25" i="9"/>
  <c r="E57" i="2"/>
  <c r="G30" i="9"/>
  <c r="F91" i="11"/>
  <c r="F118" i="11" s="1"/>
  <c r="F136" i="11" s="1"/>
  <c r="F90" i="11"/>
  <c r="Q96" i="12"/>
  <c r="Q97" i="12"/>
  <c r="Q99" i="12" s="1"/>
  <c r="P100" i="12"/>
  <c r="P101" i="12" s="1"/>
  <c r="P109" i="12"/>
  <c r="K67" i="12"/>
  <c r="L64" i="12"/>
  <c r="L65" i="12" s="1"/>
  <c r="M63" i="12"/>
  <c r="K77" i="12"/>
  <c r="K104" i="12"/>
  <c r="K107" i="12"/>
  <c r="K138" i="12"/>
  <c r="K103" i="12"/>
  <c r="K111" i="12" s="1"/>
  <c r="K139" i="12"/>
  <c r="K66" i="12"/>
  <c r="K102" i="12"/>
  <c r="K110" i="12" s="1"/>
  <c r="K68" i="12"/>
  <c r="K71" i="12"/>
  <c r="K76" i="12"/>
  <c r="K69" i="12"/>
  <c r="E119" i="12"/>
  <c r="E115" i="12"/>
  <c r="E116" i="12"/>
  <c r="E117" i="12" s="1"/>
  <c r="F86" i="12"/>
  <c r="F87" i="12"/>
  <c r="F88" i="12"/>
  <c r="G82" i="12"/>
  <c r="I80" i="12"/>
  <c r="I79" i="12"/>
  <c r="J78" i="12"/>
  <c r="F91" i="12"/>
  <c r="F118" i="12" s="1"/>
  <c r="F136" i="12" s="1"/>
  <c r="F90" i="12"/>
  <c r="P109" i="11"/>
  <c r="P100" i="11"/>
  <c r="P101" i="11" s="1"/>
  <c r="Q96" i="11"/>
  <c r="Q97" i="11" s="1"/>
  <c r="Q99" i="11" s="1"/>
  <c r="M63" i="11"/>
  <c r="K102" i="11"/>
  <c r="K110" i="11" s="1"/>
  <c r="K68" i="11"/>
  <c r="K104" i="11"/>
  <c r="K139" i="11"/>
  <c r="K66" i="11"/>
  <c r="K76" i="11"/>
  <c r="K77" i="11"/>
  <c r="K138" i="11"/>
  <c r="K69" i="11"/>
  <c r="K71" i="11"/>
  <c r="K103" i="11"/>
  <c r="K111" i="11" s="1"/>
  <c r="K107" i="11"/>
  <c r="I83" i="11"/>
  <c r="I84" i="11" s="1"/>
  <c r="I81" i="11"/>
  <c r="K67" i="11"/>
  <c r="L64" i="11"/>
  <c r="L65" i="11" s="1"/>
  <c r="E119" i="11"/>
  <c r="E116" i="11"/>
  <c r="E117" i="11" s="1"/>
  <c r="E115" i="11"/>
  <c r="F87" i="11"/>
  <c r="F86" i="11"/>
  <c r="F88" i="11"/>
  <c r="G82" i="11"/>
  <c r="J78" i="11"/>
  <c r="L64" i="3"/>
  <c r="K65" i="3"/>
  <c r="K67" i="3" s="1"/>
  <c r="J69" i="3"/>
  <c r="J102" i="3"/>
  <c r="J110" i="3" s="1"/>
  <c r="J68" i="3"/>
  <c r="J103" i="3"/>
  <c r="J111" i="3" s="1"/>
  <c r="J107" i="3"/>
  <c r="J77" i="3"/>
  <c r="J66" i="3"/>
  <c r="J139" i="3"/>
  <c r="J138" i="3"/>
  <c r="J76" i="3"/>
  <c r="J78" i="3" s="1"/>
  <c r="J104" i="3"/>
  <c r="J71" i="3"/>
  <c r="I79" i="3"/>
  <c r="F60" i="2" s="1"/>
  <c r="I80" i="3"/>
  <c r="H83" i="3"/>
  <c r="H84" i="3" s="1"/>
  <c r="H81" i="3"/>
  <c r="F85" i="3"/>
  <c r="F89" i="3" s="1"/>
  <c r="F92" i="3"/>
  <c r="F137" i="3" s="1"/>
  <c r="G83" i="3"/>
  <c r="G84" i="3" s="1"/>
  <c r="G81" i="3"/>
  <c r="E58" i="2" s="1"/>
  <c r="P109" i="3"/>
  <c r="P100" i="3"/>
  <c r="P101" i="3" s="1"/>
  <c r="Q96" i="3"/>
  <c r="Q97" i="3" s="1"/>
  <c r="Q99" i="3" s="1"/>
  <c r="O63" i="3"/>
  <c r="E127" i="3"/>
  <c r="F124" i="3" s="1"/>
  <c r="E128" i="3"/>
  <c r="E129" i="3" s="1"/>
  <c r="AG13" i="15" l="1"/>
  <c r="AB13" i="15"/>
  <c r="AF13" i="15"/>
  <c r="AC13" i="15"/>
  <c r="K78" i="12"/>
  <c r="K78" i="11"/>
  <c r="J72" i="3"/>
  <c r="J73" i="3"/>
  <c r="F57" i="2"/>
  <c r="I30" i="9"/>
  <c r="F142" i="3"/>
  <c r="F31" i="9"/>
  <c r="R96" i="12"/>
  <c r="R97" i="12" s="1"/>
  <c r="R99" i="12" s="1"/>
  <c r="Q100" i="12"/>
  <c r="Q101" i="12" s="1"/>
  <c r="Q109" i="12"/>
  <c r="M64" i="12"/>
  <c r="M65" i="12" s="1"/>
  <c r="L67" i="12"/>
  <c r="N63" i="12"/>
  <c r="L102" i="12"/>
  <c r="L110" i="12" s="1"/>
  <c r="L103" i="12"/>
  <c r="L111" i="12" s="1"/>
  <c r="L104" i="12"/>
  <c r="L71" i="12"/>
  <c r="L77" i="12"/>
  <c r="L107" i="12"/>
  <c r="L66" i="12"/>
  <c r="L138" i="12"/>
  <c r="L139" i="12"/>
  <c r="L68" i="12"/>
  <c r="L69" i="12"/>
  <c r="L76" i="12"/>
  <c r="K79" i="12"/>
  <c r="K80" i="12"/>
  <c r="E133" i="12"/>
  <c r="E126" i="12"/>
  <c r="E125" i="12"/>
  <c r="E120" i="12"/>
  <c r="F108" i="12"/>
  <c r="F113" i="12" s="1"/>
  <c r="F114" i="12" s="1"/>
  <c r="F93" i="12"/>
  <c r="G92" i="12"/>
  <c r="G137" i="12" s="1"/>
  <c r="G142" i="12" s="1"/>
  <c r="G85" i="12"/>
  <c r="G89" i="12" s="1"/>
  <c r="I81" i="12"/>
  <c r="I83" i="12"/>
  <c r="I84" i="12" s="1"/>
  <c r="J79" i="12"/>
  <c r="J80" i="12"/>
  <c r="K72" i="12"/>
  <c r="K73" i="12"/>
  <c r="Q109" i="11"/>
  <c r="Q100" i="11"/>
  <c r="Q101" i="11" s="1"/>
  <c r="R96" i="11"/>
  <c r="R97" i="11"/>
  <c r="R99" i="11" s="1"/>
  <c r="L103" i="11"/>
  <c r="L111" i="11" s="1"/>
  <c r="L107" i="11"/>
  <c r="L77" i="11"/>
  <c r="L68" i="11"/>
  <c r="L139" i="11"/>
  <c r="L66" i="11"/>
  <c r="L104" i="11"/>
  <c r="L76" i="11"/>
  <c r="L102" i="11"/>
  <c r="L110" i="11" s="1"/>
  <c r="L69" i="11"/>
  <c r="L71" i="11"/>
  <c r="L138" i="11"/>
  <c r="N63" i="11"/>
  <c r="K80" i="11"/>
  <c r="K79" i="11"/>
  <c r="M64" i="11"/>
  <c r="M65" i="11" s="1"/>
  <c r="L67" i="11"/>
  <c r="E126" i="11"/>
  <c r="E120" i="11"/>
  <c r="E125" i="11"/>
  <c r="E133" i="11"/>
  <c r="F108" i="11"/>
  <c r="F113" i="11" s="1"/>
  <c r="F114" i="11" s="1"/>
  <c r="F93" i="11"/>
  <c r="G92" i="11"/>
  <c r="G137" i="11" s="1"/>
  <c r="G142" i="11" s="1"/>
  <c r="G85" i="11"/>
  <c r="G89" i="11" s="1"/>
  <c r="J79" i="11"/>
  <c r="J80" i="11"/>
  <c r="K72" i="11"/>
  <c r="K73" i="11"/>
  <c r="M64" i="3"/>
  <c r="L65" i="3"/>
  <c r="L67" i="3" s="1"/>
  <c r="K102" i="3"/>
  <c r="K110" i="3" s="1"/>
  <c r="K69" i="3"/>
  <c r="K77" i="3"/>
  <c r="K107" i="3"/>
  <c r="K104" i="3"/>
  <c r="K103" i="3"/>
  <c r="K111" i="3" s="1"/>
  <c r="K68" i="3"/>
  <c r="K139" i="3"/>
  <c r="K138" i="3"/>
  <c r="K71" i="3"/>
  <c r="K76" i="3"/>
  <c r="K78" i="3" s="1"/>
  <c r="K66" i="3"/>
  <c r="J79" i="3"/>
  <c r="J80" i="3"/>
  <c r="I83" i="3"/>
  <c r="I84" i="3" s="1"/>
  <c r="I81" i="3"/>
  <c r="F58" i="2" s="1"/>
  <c r="F88" i="3"/>
  <c r="G82" i="3"/>
  <c r="F86" i="3"/>
  <c r="D59" i="2" s="1"/>
  <c r="F87" i="3"/>
  <c r="F90" i="3"/>
  <c r="F91" i="3"/>
  <c r="F118" i="3" s="1"/>
  <c r="F136" i="3" s="1"/>
  <c r="Q100" i="3"/>
  <c r="Q101" i="3" s="1"/>
  <c r="Q109" i="3"/>
  <c r="R96" i="3"/>
  <c r="R97" i="3" s="1"/>
  <c r="R99" i="3" s="1"/>
  <c r="P63" i="3"/>
  <c r="E130" i="3"/>
  <c r="E71" i="13" s="1"/>
  <c r="E134" i="3"/>
  <c r="E135" i="3" s="1"/>
  <c r="E140" i="3" s="1"/>
  <c r="E148" i="3" l="1"/>
  <c r="W86" i="15"/>
  <c r="L78" i="11"/>
  <c r="L72" i="12"/>
  <c r="L73" i="12"/>
  <c r="C63" i="2"/>
  <c r="E29" i="9"/>
  <c r="L78" i="12"/>
  <c r="R100" i="12"/>
  <c r="R101" i="12" s="1"/>
  <c r="R109" i="12"/>
  <c r="S96" i="12"/>
  <c r="S97" i="12" s="1"/>
  <c r="S99" i="12" s="1"/>
  <c r="M67" i="12"/>
  <c r="N64" i="12"/>
  <c r="O63" i="12"/>
  <c r="N65" i="12"/>
  <c r="M77" i="12"/>
  <c r="M104" i="12"/>
  <c r="M138" i="12"/>
  <c r="M139" i="12"/>
  <c r="M107" i="12"/>
  <c r="M76" i="12"/>
  <c r="M78" i="12" s="1"/>
  <c r="M68" i="12"/>
  <c r="M66" i="12"/>
  <c r="M102" i="12"/>
  <c r="M110" i="12" s="1"/>
  <c r="M103" i="12"/>
  <c r="M111" i="12" s="1"/>
  <c r="M69" i="12"/>
  <c r="M71" i="12"/>
  <c r="L80" i="12"/>
  <c r="L79" i="12"/>
  <c r="K81" i="12"/>
  <c r="K83" i="12"/>
  <c r="K84" i="12" s="1"/>
  <c r="E127" i="12"/>
  <c r="F124" i="12" s="1"/>
  <c r="E128" i="12"/>
  <c r="E129" i="12" s="1"/>
  <c r="F119" i="12"/>
  <c r="F115" i="12"/>
  <c r="F116" i="12"/>
  <c r="F117" i="12" s="1"/>
  <c r="G86" i="12"/>
  <c r="G87" i="12"/>
  <c r="G88" i="12"/>
  <c r="H82" i="12"/>
  <c r="J83" i="12"/>
  <c r="J84" i="12" s="1"/>
  <c r="J81" i="12"/>
  <c r="G91" i="12"/>
  <c r="G118" i="12" s="1"/>
  <c r="G136" i="12" s="1"/>
  <c r="G90" i="12"/>
  <c r="S96" i="11"/>
  <c r="S97" i="11" s="1"/>
  <c r="S99" i="11" s="1"/>
  <c r="R100" i="11"/>
  <c r="R101" i="11" s="1"/>
  <c r="R109" i="11"/>
  <c r="L79" i="11"/>
  <c r="L80" i="11"/>
  <c r="O63" i="11"/>
  <c r="M68" i="11"/>
  <c r="M104" i="11"/>
  <c r="M107" i="11"/>
  <c r="M102" i="11"/>
  <c r="M110" i="11" s="1"/>
  <c r="M69" i="11"/>
  <c r="M76" i="11"/>
  <c r="M138" i="11"/>
  <c r="M66" i="11"/>
  <c r="M71" i="11"/>
  <c r="M77" i="11"/>
  <c r="M103" i="11"/>
  <c r="M111" i="11" s="1"/>
  <c r="M139" i="11"/>
  <c r="K81" i="11"/>
  <c r="K83" i="11"/>
  <c r="K84" i="11" s="1"/>
  <c r="M67" i="11"/>
  <c r="N64" i="11"/>
  <c r="N65" i="11" s="1"/>
  <c r="E127" i="11"/>
  <c r="F124" i="11" s="1"/>
  <c r="E128" i="11"/>
  <c r="E129" i="11" s="1"/>
  <c r="F115" i="11"/>
  <c r="F119" i="11"/>
  <c r="F116" i="11"/>
  <c r="F117" i="11" s="1"/>
  <c r="G87" i="11"/>
  <c r="G86" i="11"/>
  <c r="G88" i="11"/>
  <c r="H82" i="11"/>
  <c r="J81" i="11"/>
  <c r="J83" i="11"/>
  <c r="J84" i="11" s="1"/>
  <c r="L72" i="11"/>
  <c r="L73" i="11"/>
  <c r="G90" i="11"/>
  <c r="G91" i="11"/>
  <c r="G118" i="11" s="1"/>
  <c r="G136" i="11" s="1"/>
  <c r="N64" i="3"/>
  <c r="M65" i="3"/>
  <c r="M67" i="3" s="1"/>
  <c r="L139" i="3"/>
  <c r="L69" i="3"/>
  <c r="L68" i="3"/>
  <c r="L66" i="3"/>
  <c r="L103" i="3"/>
  <c r="L111" i="3" s="1"/>
  <c r="L138" i="3"/>
  <c r="L71" i="3"/>
  <c r="L72" i="3" s="1"/>
  <c r="L107" i="3"/>
  <c r="L102" i="3"/>
  <c r="L110" i="3" s="1"/>
  <c r="L77" i="3"/>
  <c r="L104" i="3"/>
  <c r="L73" i="3"/>
  <c r="L76" i="3"/>
  <c r="K79" i="3"/>
  <c r="K80" i="3"/>
  <c r="J83" i="3"/>
  <c r="J84" i="3" s="1"/>
  <c r="J81" i="3"/>
  <c r="G92" i="3"/>
  <c r="G137" i="3" s="1"/>
  <c r="G85" i="3"/>
  <c r="G89" i="3" s="1"/>
  <c r="G91" i="3"/>
  <c r="G118" i="3" s="1"/>
  <c r="G136" i="3" s="1"/>
  <c r="G90" i="3"/>
  <c r="F108" i="3"/>
  <c r="F93" i="3"/>
  <c r="K72" i="3"/>
  <c r="K73" i="3"/>
  <c r="S96" i="3"/>
  <c r="S97" i="3" s="1"/>
  <c r="S99" i="3" s="1"/>
  <c r="R100" i="3"/>
  <c r="R101" i="3"/>
  <c r="R109" i="3"/>
  <c r="Q63" i="3"/>
  <c r="E141" i="3"/>
  <c r="C64" i="2" l="1"/>
  <c r="E65" i="13"/>
  <c r="G142" i="3"/>
  <c r="G31" i="9"/>
  <c r="F113" i="3"/>
  <c r="F114" i="3" s="1"/>
  <c r="F22" i="9"/>
  <c r="S100" i="12"/>
  <c r="S101" i="12" s="1"/>
  <c r="S109" i="12"/>
  <c r="O64" i="12"/>
  <c r="N67" i="12"/>
  <c r="P63" i="12"/>
  <c r="O65" i="12"/>
  <c r="N69" i="12"/>
  <c r="N103" i="12"/>
  <c r="N111" i="12" s="1"/>
  <c r="N139" i="12"/>
  <c r="N102" i="12"/>
  <c r="N110" i="12" s="1"/>
  <c r="N107" i="12"/>
  <c r="N76" i="12"/>
  <c r="N68" i="12"/>
  <c r="N71" i="12"/>
  <c r="N77" i="12"/>
  <c r="N104" i="12"/>
  <c r="N66" i="12"/>
  <c r="N138" i="12"/>
  <c r="M79" i="12"/>
  <c r="M80" i="12"/>
  <c r="L81" i="12"/>
  <c r="L83" i="12"/>
  <c r="L84" i="12" s="1"/>
  <c r="E130" i="12"/>
  <c r="E134" i="12"/>
  <c r="E135" i="12" s="1"/>
  <c r="E140" i="12" s="1"/>
  <c r="F133" i="12"/>
  <c r="F120" i="12"/>
  <c r="F125" i="12"/>
  <c r="F126" i="12"/>
  <c r="G108" i="12"/>
  <c r="G113" i="12" s="1"/>
  <c r="G114" i="12" s="1"/>
  <c r="G93" i="12"/>
  <c r="H92" i="12"/>
  <c r="H137" i="12" s="1"/>
  <c r="H142" i="12" s="1"/>
  <c r="H85" i="12"/>
  <c r="H89" i="12" s="1"/>
  <c r="M72" i="12"/>
  <c r="M73" i="12"/>
  <c r="S109" i="11"/>
  <c r="S100" i="11"/>
  <c r="S101" i="11" s="1"/>
  <c r="L83" i="11"/>
  <c r="L84" i="11" s="1"/>
  <c r="L81" i="11"/>
  <c r="N71" i="11"/>
  <c r="N72" i="11" s="1"/>
  <c r="N66" i="11"/>
  <c r="N139" i="11"/>
  <c r="N73" i="11"/>
  <c r="N102" i="11"/>
  <c r="N110" i="11" s="1"/>
  <c r="N138" i="11"/>
  <c r="N68" i="11"/>
  <c r="N107" i="11"/>
  <c r="N69" i="11"/>
  <c r="N77" i="11"/>
  <c r="N103" i="11"/>
  <c r="N111" i="11" s="1"/>
  <c r="N104" i="11"/>
  <c r="N76" i="11"/>
  <c r="N78" i="11" s="1"/>
  <c r="P63" i="11"/>
  <c r="N67" i="11"/>
  <c r="O64" i="11"/>
  <c r="O65" i="11" s="1"/>
  <c r="E130" i="11"/>
  <c r="E134" i="11"/>
  <c r="E135" i="11" s="1"/>
  <c r="E140" i="11" s="1"/>
  <c r="F126" i="11"/>
  <c r="F120" i="11"/>
  <c r="F125" i="11"/>
  <c r="F133" i="11"/>
  <c r="G108" i="11"/>
  <c r="G113" i="11" s="1"/>
  <c r="G114" i="11" s="1"/>
  <c r="G93" i="11"/>
  <c r="H92" i="11"/>
  <c r="H137" i="11" s="1"/>
  <c r="H142" i="11" s="1"/>
  <c r="H90" i="11"/>
  <c r="H85" i="11"/>
  <c r="M78" i="11"/>
  <c r="M72" i="11"/>
  <c r="M73" i="11"/>
  <c r="O64" i="3"/>
  <c r="N65" i="3"/>
  <c r="M107" i="3"/>
  <c r="M66" i="3"/>
  <c r="M71" i="3"/>
  <c r="M103" i="3"/>
  <c r="M111" i="3" s="1"/>
  <c r="M104" i="3"/>
  <c r="M77" i="3"/>
  <c r="M68" i="3"/>
  <c r="M69" i="3"/>
  <c r="M139" i="3"/>
  <c r="M138" i="3"/>
  <c r="M102" i="3"/>
  <c r="M110" i="3" s="1"/>
  <c r="M76" i="3"/>
  <c r="K81" i="3"/>
  <c r="K83" i="3"/>
  <c r="K84" i="3" s="1"/>
  <c r="G86" i="3"/>
  <c r="E59" i="2" s="1"/>
  <c r="G88" i="3"/>
  <c r="H82" i="3"/>
  <c r="G87" i="3"/>
  <c r="F116" i="3"/>
  <c r="F115" i="3"/>
  <c r="F119" i="3"/>
  <c r="F28" i="9" s="1"/>
  <c r="L78" i="3"/>
  <c r="E150" i="3"/>
  <c r="S109" i="3"/>
  <c r="S100" i="3"/>
  <c r="S101" i="3" s="1"/>
  <c r="R63" i="3"/>
  <c r="E148" i="12" l="1"/>
  <c r="X86" i="15"/>
  <c r="E148" i="11"/>
  <c r="V86" i="15"/>
  <c r="M78" i="3"/>
  <c r="F26" i="9"/>
  <c r="H91" i="11"/>
  <c r="H118" i="11" s="1"/>
  <c r="H136" i="11" s="1"/>
  <c r="H89" i="11"/>
  <c r="N67" i="3"/>
  <c r="G55" i="2"/>
  <c r="F117" i="3"/>
  <c r="D61" i="2" s="1"/>
  <c r="F27" i="9"/>
  <c r="H90" i="12"/>
  <c r="H91" i="12"/>
  <c r="H118" i="12" s="1"/>
  <c r="H136" i="12" s="1"/>
  <c r="P64" i="12"/>
  <c r="P65" i="12" s="1"/>
  <c r="O67" i="12"/>
  <c r="Q63" i="12"/>
  <c r="O103" i="12"/>
  <c r="O111" i="12" s="1"/>
  <c r="O107" i="12"/>
  <c r="O68" i="12"/>
  <c r="O102" i="12"/>
  <c r="O110" i="12" s="1"/>
  <c r="O104" i="12"/>
  <c r="O139" i="12"/>
  <c r="O66" i="12"/>
  <c r="O77" i="12"/>
  <c r="O138" i="12"/>
  <c r="O69" i="12"/>
  <c r="O71" i="12"/>
  <c r="O76" i="12"/>
  <c r="O78" i="12" s="1"/>
  <c r="M83" i="12"/>
  <c r="M84" i="12" s="1"/>
  <c r="M81" i="12"/>
  <c r="E141" i="12"/>
  <c r="F127" i="12"/>
  <c r="G124" i="12" s="1"/>
  <c r="F128" i="12"/>
  <c r="F129" i="12" s="1"/>
  <c r="G119" i="12"/>
  <c r="G116" i="12"/>
  <c r="G117" i="12" s="1"/>
  <c r="G115" i="12"/>
  <c r="H86" i="12"/>
  <c r="H87" i="12"/>
  <c r="H88" i="12"/>
  <c r="I82" i="12"/>
  <c r="N78" i="12"/>
  <c r="N72" i="12"/>
  <c r="N73" i="12"/>
  <c r="N80" i="11"/>
  <c r="N79" i="11"/>
  <c r="Q63" i="11"/>
  <c r="O139" i="11"/>
  <c r="O77" i="11"/>
  <c r="O104" i="11"/>
  <c r="O66" i="11"/>
  <c r="O68" i="11"/>
  <c r="O71" i="11"/>
  <c r="O76" i="11"/>
  <c r="O69" i="11"/>
  <c r="O138" i="11"/>
  <c r="O102" i="11"/>
  <c r="O110" i="11" s="1"/>
  <c r="O103" i="11"/>
  <c r="O111" i="11" s="1"/>
  <c r="O107" i="11"/>
  <c r="O67" i="11"/>
  <c r="P64" i="11"/>
  <c r="P65" i="11" s="1"/>
  <c r="E141" i="11"/>
  <c r="F127" i="11"/>
  <c r="G124" i="11" s="1"/>
  <c r="F128" i="11"/>
  <c r="F129" i="11" s="1"/>
  <c r="G115" i="11"/>
  <c r="G116" i="11"/>
  <c r="G117" i="11" s="1"/>
  <c r="G119" i="11"/>
  <c r="H86" i="11"/>
  <c r="H87" i="11"/>
  <c r="I82" i="11"/>
  <c r="H88" i="11"/>
  <c r="M79" i="11"/>
  <c r="M80" i="11"/>
  <c r="P64" i="3"/>
  <c r="O65" i="3"/>
  <c r="O67" i="3" s="1"/>
  <c r="N138" i="3"/>
  <c r="N68" i="3"/>
  <c r="N66" i="3"/>
  <c r="G56" i="2" s="1"/>
  <c r="N102" i="3"/>
  <c r="N110" i="3" s="1"/>
  <c r="N107" i="3"/>
  <c r="N76" i="3"/>
  <c r="N139" i="3"/>
  <c r="N103" i="3"/>
  <c r="N111" i="3" s="1"/>
  <c r="N77" i="3"/>
  <c r="N69" i="3"/>
  <c r="N104" i="3"/>
  <c r="N71" i="3"/>
  <c r="M79" i="3"/>
  <c r="M80" i="3"/>
  <c r="G108" i="3"/>
  <c r="G93" i="3"/>
  <c r="H85" i="3"/>
  <c r="H92" i="3"/>
  <c r="H137" i="3" s="1"/>
  <c r="H91" i="3"/>
  <c r="H118" i="3" s="1"/>
  <c r="H136" i="3" s="1"/>
  <c r="F125" i="3"/>
  <c r="F120" i="3"/>
  <c r="D62" i="2" s="1"/>
  <c r="F133" i="3"/>
  <c r="F126" i="3"/>
  <c r="L79" i="3"/>
  <c r="L80" i="3"/>
  <c r="M72" i="3"/>
  <c r="M73" i="3"/>
  <c r="S63" i="3"/>
  <c r="O72" i="12" l="1"/>
  <c r="O73" i="12"/>
  <c r="G113" i="3"/>
  <c r="G114" i="3" s="1"/>
  <c r="G22" i="9"/>
  <c r="H90" i="3"/>
  <c r="H89" i="3"/>
  <c r="H142" i="3"/>
  <c r="H31" i="9"/>
  <c r="O72" i="11"/>
  <c r="O73" i="11"/>
  <c r="P67" i="12"/>
  <c r="Q64" i="12"/>
  <c r="Q65" i="12" s="1"/>
  <c r="P103" i="12"/>
  <c r="P111" i="12" s="1"/>
  <c r="P104" i="12"/>
  <c r="P77" i="12"/>
  <c r="P107" i="12"/>
  <c r="P138" i="12"/>
  <c r="P76" i="12"/>
  <c r="P78" i="12" s="1"/>
  <c r="P69" i="12"/>
  <c r="P71" i="12"/>
  <c r="P102" i="12"/>
  <c r="P110" i="12" s="1"/>
  <c r="P139" i="12"/>
  <c r="P66" i="12"/>
  <c r="P68" i="12"/>
  <c r="R63" i="12"/>
  <c r="O80" i="12"/>
  <c r="O79" i="12"/>
  <c r="E150" i="12"/>
  <c r="F130" i="12"/>
  <c r="F134" i="12"/>
  <c r="F135" i="12" s="1"/>
  <c r="F140" i="12" s="1"/>
  <c r="X87" i="15" s="1"/>
  <c r="G133" i="12"/>
  <c r="G126" i="12"/>
  <c r="G125" i="12"/>
  <c r="G120" i="12"/>
  <c r="H108" i="12"/>
  <c r="H113" i="12" s="1"/>
  <c r="H114" i="12" s="1"/>
  <c r="H93" i="12"/>
  <c r="I92" i="12"/>
  <c r="I137" i="12" s="1"/>
  <c r="I142" i="12" s="1"/>
  <c r="I85" i="12"/>
  <c r="I89" i="12" s="1"/>
  <c r="N80" i="12"/>
  <c r="N79" i="12"/>
  <c r="N83" i="11"/>
  <c r="N84" i="11" s="1"/>
  <c r="N81" i="11"/>
  <c r="P68" i="11"/>
  <c r="P69" i="11"/>
  <c r="P71" i="11"/>
  <c r="P102" i="11"/>
  <c r="P110" i="11" s="1"/>
  <c r="P139" i="11"/>
  <c r="P104" i="11"/>
  <c r="P138" i="11"/>
  <c r="P77" i="11"/>
  <c r="P76" i="11"/>
  <c r="P78" i="11" s="1"/>
  <c r="P107" i="11"/>
  <c r="P66" i="11"/>
  <c r="P103" i="11"/>
  <c r="P111" i="11" s="1"/>
  <c r="R63" i="11"/>
  <c r="Q64" i="11"/>
  <c r="Q65" i="11" s="1"/>
  <c r="P67" i="11"/>
  <c r="E150" i="11"/>
  <c r="F130" i="11"/>
  <c r="F134" i="11"/>
  <c r="F135" i="11" s="1"/>
  <c r="F140" i="11" s="1"/>
  <c r="V87" i="15" s="1"/>
  <c r="G126" i="11"/>
  <c r="G120" i="11"/>
  <c r="G125" i="11"/>
  <c r="G133" i="11"/>
  <c r="H108" i="11"/>
  <c r="H113" i="11" s="1"/>
  <c r="H114" i="11" s="1"/>
  <c r="H93" i="11"/>
  <c r="I92" i="11"/>
  <c r="I137" i="11" s="1"/>
  <c r="I142" i="11" s="1"/>
  <c r="I85" i="11"/>
  <c r="I91" i="11" s="1"/>
  <c r="I118" i="11" s="1"/>
  <c r="I136" i="11" s="1"/>
  <c r="M81" i="11"/>
  <c r="M83" i="11"/>
  <c r="M84" i="11" s="1"/>
  <c r="O78" i="11"/>
  <c r="Q64" i="3"/>
  <c r="P65" i="3"/>
  <c r="P67" i="3" s="1"/>
  <c r="O138" i="3"/>
  <c r="O77" i="3"/>
  <c r="O68" i="3"/>
  <c r="O104" i="3"/>
  <c r="O103" i="3"/>
  <c r="O111" i="3" s="1"/>
  <c r="O76" i="3"/>
  <c r="O107" i="3"/>
  <c r="O102" i="3"/>
  <c r="O110" i="3" s="1"/>
  <c r="O71" i="3"/>
  <c r="O66" i="3"/>
  <c r="O139" i="3"/>
  <c r="O69" i="3"/>
  <c r="M83" i="3"/>
  <c r="M84" i="3" s="1"/>
  <c r="M81" i="3"/>
  <c r="H87" i="3"/>
  <c r="H86" i="3"/>
  <c r="H88" i="3"/>
  <c r="I82" i="3"/>
  <c r="L83" i="3"/>
  <c r="L84" i="3" s="1"/>
  <c r="L81" i="3"/>
  <c r="N78" i="3"/>
  <c r="N72" i="3"/>
  <c r="N73" i="3"/>
  <c r="F127" i="3"/>
  <c r="G124" i="3" s="1"/>
  <c r="F128" i="3"/>
  <c r="F129" i="3" s="1"/>
  <c r="G26" i="9" l="1"/>
  <c r="G115" i="3"/>
  <c r="G116" i="3"/>
  <c r="G119" i="3"/>
  <c r="G28" i="9" s="1"/>
  <c r="O78" i="3"/>
  <c r="I90" i="11"/>
  <c r="I89" i="11"/>
  <c r="G117" i="3"/>
  <c r="E61" i="2" s="1"/>
  <c r="G27" i="9"/>
  <c r="R64" i="12"/>
  <c r="Q67" i="12"/>
  <c r="P80" i="12"/>
  <c r="P79" i="12"/>
  <c r="R65" i="12"/>
  <c r="S63" i="12"/>
  <c r="Q102" i="12"/>
  <c r="Q110" i="12" s="1"/>
  <c r="Q139" i="12"/>
  <c r="Q66" i="12"/>
  <c r="Q68" i="12"/>
  <c r="Q76" i="12"/>
  <c r="Q104" i="12"/>
  <c r="Q138" i="12"/>
  <c r="Q71" i="12"/>
  <c r="Q77" i="12"/>
  <c r="Q107" i="12"/>
  <c r="Q69" i="12"/>
  <c r="Q103" i="12"/>
  <c r="Q111" i="12" s="1"/>
  <c r="O83" i="12"/>
  <c r="O84" i="12" s="1"/>
  <c r="O81" i="12"/>
  <c r="F148" i="12"/>
  <c r="F141" i="12"/>
  <c r="G127" i="12"/>
  <c r="H124" i="12" s="1"/>
  <c r="G128" i="12"/>
  <c r="G129" i="12" s="1"/>
  <c r="H115" i="12"/>
  <c r="H116" i="12"/>
  <c r="H117" i="12" s="1"/>
  <c r="H119" i="12"/>
  <c r="I87" i="12"/>
  <c r="I86" i="12"/>
  <c r="I88" i="12"/>
  <c r="J82" i="12"/>
  <c r="N81" i="12"/>
  <c r="N83" i="12"/>
  <c r="N84" i="12" s="1"/>
  <c r="P72" i="12"/>
  <c r="P73" i="12"/>
  <c r="I91" i="12"/>
  <c r="I118" i="12" s="1"/>
  <c r="I136" i="12" s="1"/>
  <c r="I90" i="12"/>
  <c r="P79" i="11"/>
  <c r="P80" i="11"/>
  <c r="S63" i="11"/>
  <c r="Q104" i="11"/>
  <c r="Q71" i="11"/>
  <c r="Q72" i="11" s="1"/>
  <c r="Q103" i="11"/>
  <c r="Q111" i="11" s="1"/>
  <c r="Q68" i="11"/>
  <c r="Q69" i="11"/>
  <c r="Q73" i="11"/>
  <c r="Q107" i="11"/>
  <c r="Q76" i="11"/>
  <c r="Q102" i="11"/>
  <c r="Q110" i="11" s="1"/>
  <c r="Q139" i="11"/>
  <c r="Q66" i="11"/>
  <c r="Q138" i="11"/>
  <c r="Q77" i="11"/>
  <c r="Q67" i="11"/>
  <c r="R64" i="11"/>
  <c r="R65" i="11" s="1"/>
  <c r="F148" i="11"/>
  <c r="F141" i="11"/>
  <c r="G127" i="11"/>
  <c r="H124" i="11" s="1"/>
  <c r="G128" i="11"/>
  <c r="G129" i="11" s="1"/>
  <c r="H115" i="11"/>
  <c r="H119" i="11"/>
  <c r="H116" i="11"/>
  <c r="H117" i="11" s="1"/>
  <c r="I86" i="11"/>
  <c r="I87" i="11"/>
  <c r="I88" i="11"/>
  <c r="J82" i="11"/>
  <c r="O79" i="11"/>
  <c r="O80" i="11"/>
  <c r="P72" i="11"/>
  <c r="P73" i="11"/>
  <c r="R64" i="3"/>
  <c r="Q65" i="3"/>
  <c r="Q67" i="3" s="1"/>
  <c r="P71" i="3"/>
  <c r="P107" i="3"/>
  <c r="P69" i="3"/>
  <c r="P139" i="3"/>
  <c r="P68" i="3"/>
  <c r="P66" i="3"/>
  <c r="P102" i="3"/>
  <c r="P110" i="3" s="1"/>
  <c r="P77" i="3"/>
  <c r="P104" i="3"/>
  <c r="P103" i="3"/>
  <c r="P111" i="3" s="1"/>
  <c r="P138" i="3"/>
  <c r="P76" i="3"/>
  <c r="P78" i="3" s="1"/>
  <c r="O79" i="3"/>
  <c r="O80" i="3"/>
  <c r="G125" i="3"/>
  <c r="G128" i="3" s="1"/>
  <c r="G129" i="3" s="1"/>
  <c r="G133" i="3"/>
  <c r="G126" i="3"/>
  <c r="G120" i="3"/>
  <c r="E62" i="2" s="1"/>
  <c r="H108" i="3"/>
  <c r="H93" i="3"/>
  <c r="I92" i="3"/>
  <c r="I137" i="3" s="1"/>
  <c r="I85" i="3"/>
  <c r="I89" i="3" s="1"/>
  <c r="N79" i="3"/>
  <c r="G60" i="2" s="1"/>
  <c r="N80" i="3"/>
  <c r="G57" i="2" s="1"/>
  <c r="F134" i="3"/>
  <c r="F135" i="3" s="1"/>
  <c r="F140" i="3" s="1"/>
  <c r="W87" i="15" s="1"/>
  <c r="F130" i="3"/>
  <c r="F71" i="13" s="1"/>
  <c r="O72" i="3"/>
  <c r="O73" i="3"/>
  <c r="H113" i="3" l="1"/>
  <c r="H114" i="3" s="1"/>
  <c r="H26" i="9" s="1"/>
  <c r="H22" i="9"/>
  <c r="I142" i="3"/>
  <c r="I31" i="9"/>
  <c r="F29" i="9"/>
  <c r="D63" i="2"/>
  <c r="R67" i="12"/>
  <c r="S64" i="12"/>
  <c r="P83" i="12"/>
  <c r="P84" i="12" s="1"/>
  <c r="P81" i="12"/>
  <c r="R68" i="12"/>
  <c r="R71" i="12"/>
  <c r="R72" i="12" s="1"/>
  <c r="R103" i="12"/>
  <c r="R111" i="12" s="1"/>
  <c r="R138" i="12"/>
  <c r="R77" i="12"/>
  <c r="R139" i="12"/>
  <c r="R66" i="12"/>
  <c r="R69" i="12"/>
  <c r="R104" i="12"/>
  <c r="R73" i="12"/>
  <c r="R102" i="12"/>
  <c r="R110" i="12" s="1"/>
  <c r="R107" i="12"/>
  <c r="R76" i="12"/>
  <c r="R78" i="12" s="1"/>
  <c r="F150" i="12"/>
  <c r="G130" i="12"/>
  <c r="G134" i="12"/>
  <c r="G135" i="12" s="1"/>
  <c r="G140" i="12" s="1"/>
  <c r="X88" i="15" s="1"/>
  <c r="H133" i="12"/>
  <c r="H120" i="12"/>
  <c r="H125" i="12"/>
  <c r="H126" i="12"/>
  <c r="I108" i="12"/>
  <c r="I113" i="12" s="1"/>
  <c r="I114" i="12" s="1"/>
  <c r="I93" i="12"/>
  <c r="J92" i="12"/>
  <c r="J137" i="12" s="1"/>
  <c r="J142" i="12" s="1"/>
  <c r="J85" i="12"/>
  <c r="J91" i="12" s="1"/>
  <c r="J118" i="12" s="1"/>
  <c r="J136" i="12" s="1"/>
  <c r="Q78" i="12"/>
  <c r="Q72" i="12"/>
  <c r="Q73" i="12"/>
  <c r="P81" i="11"/>
  <c r="P83" i="11"/>
  <c r="P84" i="11" s="1"/>
  <c r="R107" i="11"/>
  <c r="R69" i="11"/>
  <c r="R102" i="11"/>
  <c r="R110" i="11" s="1"/>
  <c r="R104" i="11"/>
  <c r="R139" i="11"/>
  <c r="R138" i="11"/>
  <c r="R66" i="11"/>
  <c r="R77" i="11"/>
  <c r="R68" i="11"/>
  <c r="R76" i="11"/>
  <c r="R78" i="11" s="1"/>
  <c r="R103" i="11"/>
  <c r="R111" i="11" s="1"/>
  <c r="R71" i="11"/>
  <c r="S64" i="11"/>
  <c r="R67" i="11"/>
  <c r="F150" i="11"/>
  <c r="G130" i="11"/>
  <c r="G134" i="11"/>
  <c r="G135" i="11" s="1"/>
  <c r="G140" i="11" s="1"/>
  <c r="V88" i="15" s="1"/>
  <c r="H126" i="11"/>
  <c r="H133" i="11"/>
  <c r="H120" i="11"/>
  <c r="H125" i="11"/>
  <c r="I108" i="11"/>
  <c r="I113" i="11" s="1"/>
  <c r="I114" i="11" s="1"/>
  <c r="I93" i="11"/>
  <c r="J92" i="11"/>
  <c r="J137" i="11" s="1"/>
  <c r="J142" i="11" s="1"/>
  <c r="J85" i="11"/>
  <c r="J89" i="11" s="1"/>
  <c r="O81" i="11"/>
  <c r="O83" i="11"/>
  <c r="O84" i="11" s="1"/>
  <c r="Q78" i="11"/>
  <c r="S64" i="3"/>
  <c r="R65" i="3"/>
  <c r="R67" i="3" s="1"/>
  <c r="Q76" i="3"/>
  <c r="Q139" i="3"/>
  <c r="Q69" i="3"/>
  <c r="Q77" i="3"/>
  <c r="Q104" i="3"/>
  <c r="Q102" i="3"/>
  <c r="Q110" i="3" s="1"/>
  <c r="Q138" i="3"/>
  <c r="Q103" i="3"/>
  <c r="Q111" i="3" s="1"/>
  <c r="Q71" i="3"/>
  <c r="Q68" i="3"/>
  <c r="Q66" i="3"/>
  <c r="Q107" i="3"/>
  <c r="P79" i="3"/>
  <c r="P80" i="3"/>
  <c r="O83" i="3"/>
  <c r="O84" i="3" s="1"/>
  <c r="O81" i="3"/>
  <c r="G130" i="3"/>
  <c r="G71" i="13" s="1"/>
  <c r="G134" i="3"/>
  <c r="G135" i="3" s="1"/>
  <c r="G140" i="3" s="1"/>
  <c r="W88" i="15" s="1"/>
  <c r="H119" i="3"/>
  <c r="H28" i="9" s="1"/>
  <c r="H116" i="3"/>
  <c r="H115" i="3"/>
  <c r="J82" i="3"/>
  <c r="I88" i="3"/>
  <c r="I86" i="3"/>
  <c r="F59" i="2" s="1"/>
  <c r="I87" i="3"/>
  <c r="N81" i="3"/>
  <c r="G58" i="2" s="1"/>
  <c r="N83" i="3"/>
  <c r="N84" i="3" s="1"/>
  <c r="F141" i="3"/>
  <c r="F148" i="3"/>
  <c r="G127" i="3"/>
  <c r="H124" i="3" s="1"/>
  <c r="P72" i="3"/>
  <c r="P73" i="3"/>
  <c r="I90" i="3"/>
  <c r="I91" i="3"/>
  <c r="I118" i="3" s="1"/>
  <c r="I136" i="3" s="1"/>
  <c r="D64" i="2" l="1"/>
  <c r="F65" i="13"/>
  <c r="J90" i="12"/>
  <c r="J89" i="12"/>
  <c r="E63" i="2"/>
  <c r="G29" i="9"/>
  <c r="H117" i="3"/>
  <c r="H27" i="9"/>
  <c r="J90" i="11"/>
  <c r="J91" i="11"/>
  <c r="J118" i="11" s="1"/>
  <c r="J136" i="11" s="1"/>
  <c r="S65" i="12"/>
  <c r="S67" i="12" s="1"/>
  <c r="R79" i="12"/>
  <c r="R80" i="12"/>
  <c r="G148" i="12"/>
  <c r="G141" i="12"/>
  <c r="H127" i="12"/>
  <c r="I124" i="12" s="1"/>
  <c r="H128" i="12"/>
  <c r="H129" i="12" s="1"/>
  <c r="I115" i="12"/>
  <c r="I116" i="12"/>
  <c r="I117" i="12" s="1"/>
  <c r="I119" i="12"/>
  <c r="J87" i="12"/>
  <c r="J86" i="12"/>
  <c r="K82" i="12"/>
  <c r="J88" i="12"/>
  <c r="Q79" i="12"/>
  <c r="Q80" i="12"/>
  <c r="R80" i="11"/>
  <c r="R79" i="11"/>
  <c r="S65" i="11"/>
  <c r="S67" i="11" s="1"/>
  <c r="G141" i="11"/>
  <c r="G148" i="11"/>
  <c r="H127" i="11"/>
  <c r="I124" i="11" s="1"/>
  <c r="H128" i="11"/>
  <c r="H129" i="11" s="1"/>
  <c r="I115" i="11"/>
  <c r="I119" i="11"/>
  <c r="I116" i="11"/>
  <c r="I117" i="11" s="1"/>
  <c r="J86" i="11"/>
  <c r="J87" i="11"/>
  <c r="K82" i="11"/>
  <c r="J88" i="11"/>
  <c r="Q79" i="11"/>
  <c r="Q80" i="11"/>
  <c r="R72" i="11"/>
  <c r="R73" i="11"/>
  <c r="S65" i="3"/>
  <c r="R102" i="3"/>
  <c r="R110" i="3" s="1"/>
  <c r="R103" i="3"/>
  <c r="R111" i="3" s="1"/>
  <c r="R104" i="3"/>
  <c r="R107" i="3"/>
  <c r="R138" i="3"/>
  <c r="R76" i="3"/>
  <c r="R66" i="3"/>
  <c r="R68" i="3"/>
  <c r="R69" i="3"/>
  <c r="R71" i="3"/>
  <c r="R139" i="3"/>
  <c r="R77" i="3"/>
  <c r="P81" i="3"/>
  <c r="P83" i="3"/>
  <c r="P84" i="3" s="1"/>
  <c r="G141" i="3"/>
  <c r="G148" i="3"/>
  <c r="H126" i="3"/>
  <c r="H125" i="3"/>
  <c r="H133" i="3"/>
  <c r="H120" i="3"/>
  <c r="J85" i="3"/>
  <c r="J90" i="3" s="1"/>
  <c r="J92" i="3"/>
  <c r="J137" i="3" s="1"/>
  <c r="J142" i="3" s="1"/>
  <c r="I93" i="3"/>
  <c r="I108" i="3"/>
  <c r="F150" i="3"/>
  <c r="Q78" i="3"/>
  <c r="Q72" i="3"/>
  <c r="Q73" i="3"/>
  <c r="E64" i="2" l="1"/>
  <c r="G65" i="13"/>
  <c r="S67" i="3"/>
  <c r="H55" i="2"/>
  <c r="B27" i="1"/>
  <c r="J91" i="3"/>
  <c r="J118" i="3" s="1"/>
  <c r="J136" i="3" s="1"/>
  <c r="J89" i="3"/>
  <c r="I113" i="3"/>
  <c r="I114" i="3" s="1"/>
  <c r="I22" i="9"/>
  <c r="H127" i="3"/>
  <c r="I124" i="3" s="1"/>
  <c r="H128" i="3"/>
  <c r="H129" i="3" s="1"/>
  <c r="G150" i="3"/>
  <c r="S138" i="12"/>
  <c r="S102" i="12"/>
  <c r="S110" i="12" s="1"/>
  <c r="S139" i="12"/>
  <c r="S107" i="12"/>
  <c r="S76" i="12"/>
  <c r="S104" i="12"/>
  <c r="S66" i="12"/>
  <c r="S69" i="12"/>
  <c r="S68" i="12"/>
  <c r="S103" i="12"/>
  <c r="S111" i="12" s="1"/>
  <c r="S77" i="12"/>
  <c r="S71" i="12"/>
  <c r="R83" i="12"/>
  <c r="R84" i="12" s="1"/>
  <c r="R81" i="12"/>
  <c r="G150" i="12"/>
  <c r="H130" i="12"/>
  <c r="H134" i="12"/>
  <c r="H135" i="12" s="1"/>
  <c r="H140" i="12" s="1"/>
  <c r="X89" i="15" s="1"/>
  <c r="I120" i="12"/>
  <c r="I125" i="12"/>
  <c r="I126" i="12"/>
  <c r="I133" i="12"/>
  <c r="J108" i="12"/>
  <c r="J113" i="12" s="1"/>
  <c r="J114" i="12" s="1"/>
  <c r="J93" i="12"/>
  <c r="K92" i="12"/>
  <c r="K137" i="12" s="1"/>
  <c r="K142" i="12" s="1"/>
  <c r="K85" i="12"/>
  <c r="Q83" i="12"/>
  <c r="Q84" i="12" s="1"/>
  <c r="Q81" i="12"/>
  <c r="R81" i="11"/>
  <c r="R83" i="11"/>
  <c r="R84" i="11" s="1"/>
  <c r="S77" i="11"/>
  <c r="S71" i="11"/>
  <c r="S68" i="11"/>
  <c r="S76" i="11"/>
  <c r="S78" i="11" s="1"/>
  <c r="S103" i="11"/>
  <c r="S111" i="11" s="1"/>
  <c r="S107" i="11"/>
  <c r="S102" i="11"/>
  <c r="S110" i="11" s="1"/>
  <c r="S66" i="11"/>
  <c r="S104" i="11"/>
  <c r="S138" i="11"/>
  <c r="S69" i="11"/>
  <c r="S139" i="11"/>
  <c r="G150" i="11"/>
  <c r="H130" i="11"/>
  <c r="H134" i="11"/>
  <c r="H135" i="11" s="1"/>
  <c r="H140" i="11" s="1"/>
  <c r="V89" i="15" s="1"/>
  <c r="I120" i="11"/>
  <c r="I125" i="11"/>
  <c r="I126" i="11"/>
  <c r="I133" i="11"/>
  <c r="J108" i="11"/>
  <c r="J113" i="11" s="1"/>
  <c r="J114" i="11" s="1"/>
  <c r="J93" i="11"/>
  <c r="K92" i="11"/>
  <c r="K137" i="11" s="1"/>
  <c r="K142" i="11" s="1"/>
  <c r="K85" i="11"/>
  <c r="Q81" i="11"/>
  <c r="Q83" i="11"/>
  <c r="Q84" i="11" s="1"/>
  <c r="S77" i="3"/>
  <c r="S68" i="3"/>
  <c r="S71" i="3"/>
  <c r="S69" i="3"/>
  <c r="S102" i="3"/>
  <c r="S110" i="3" s="1"/>
  <c r="S107" i="3"/>
  <c r="S66" i="3"/>
  <c r="H56" i="2" s="1"/>
  <c r="S138" i="3"/>
  <c r="S76" i="3"/>
  <c r="S139" i="3"/>
  <c r="S103" i="3"/>
  <c r="S111" i="3" s="1"/>
  <c r="S104" i="3"/>
  <c r="K82" i="3"/>
  <c r="J88" i="3"/>
  <c r="J87" i="3"/>
  <c r="J86" i="3"/>
  <c r="Q80" i="3"/>
  <c r="Q79" i="3"/>
  <c r="R78" i="3"/>
  <c r="R72" i="3"/>
  <c r="R73" i="3"/>
  <c r="S78" i="3" l="1"/>
  <c r="I26" i="9"/>
  <c r="I115" i="3"/>
  <c r="I116" i="3"/>
  <c r="I119" i="3"/>
  <c r="I28" i="9" s="1"/>
  <c r="K90" i="12"/>
  <c r="K91" i="12"/>
  <c r="K118" i="12" s="1"/>
  <c r="K136" i="12" s="1"/>
  <c r="K89" i="12"/>
  <c r="K91" i="11"/>
  <c r="K118" i="11" s="1"/>
  <c r="K136" i="11" s="1"/>
  <c r="K90" i="11"/>
  <c r="K89" i="11"/>
  <c r="S72" i="3"/>
  <c r="S73" i="3"/>
  <c r="I117" i="3"/>
  <c r="F61" i="2" s="1"/>
  <c r="I27" i="9"/>
  <c r="H134" i="3"/>
  <c r="H135" i="3" s="1"/>
  <c r="H140" i="3" s="1"/>
  <c r="H130" i="3"/>
  <c r="H71" i="13" s="1"/>
  <c r="H148" i="12"/>
  <c r="H141" i="12"/>
  <c r="I127" i="12"/>
  <c r="J124" i="12" s="1"/>
  <c r="I128" i="12"/>
  <c r="I129" i="12" s="1"/>
  <c r="J115" i="12"/>
  <c r="J119" i="12"/>
  <c r="J116" i="12"/>
  <c r="J117" i="12" s="1"/>
  <c r="K87" i="12"/>
  <c r="K86" i="12"/>
  <c r="K88" i="12"/>
  <c r="L82" i="12"/>
  <c r="S78" i="12"/>
  <c r="S72" i="12"/>
  <c r="S73" i="12"/>
  <c r="S79" i="11"/>
  <c r="S80" i="11"/>
  <c r="H141" i="11"/>
  <c r="H148" i="11"/>
  <c r="I127" i="11"/>
  <c r="J124" i="11" s="1"/>
  <c r="I128" i="11"/>
  <c r="I129" i="11" s="1"/>
  <c r="J115" i="11"/>
  <c r="J119" i="11"/>
  <c r="J116" i="11"/>
  <c r="J117" i="11" s="1"/>
  <c r="K87" i="11"/>
  <c r="K86" i="11"/>
  <c r="K88" i="11"/>
  <c r="L82" i="11"/>
  <c r="S72" i="11"/>
  <c r="S73" i="11"/>
  <c r="H141" i="3"/>
  <c r="H65" i="13" s="1"/>
  <c r="H148" i="3"/>
  <c r="K85" i="3"/>
  <c r="K89" i="3" s="1"/>
  <c r="K92" i="3"/>
  <c r="K137" i="3" s="1"/>
  <c r="K142" i="3" s="1"/>
  <c r="J93" i="3"/>
  <c r="J108" i="3"/>
  <c r="J113" i="3" s="1"/>
  <c r="J114" i="3" s="1"/>
  <c r="I120" i="3"/>
  <c r="F62" i="2" s="1"/>
  <c r="I125" i="3"/>
  <c r="I128" i="3" s="1"/>
  <c r="I129" i="3" s="1"/>
  <c r="I126" i="3"/>
  <c r="I133" i="3"/>
  <c r="Q81" i="3"/>
  <c r="Q83" i="3"/>
  <c r="Q84" i="3" s="1"/>
  <c r="R80" i="3"/>
  <c r="R79" i="3"/>
  <c r="H29" i="9" l="1"/>
  <c r="W89" i="15"/>
  <c r="S80" i="3"/>
  <c r="S79" i="3"/>
  <c r="H150" i="12"/>
  <c r="I130" i="12"/>
  <c r="I134" i="12"/>
  <c r="I135" i="12" s="1"/>
  <c r="I140" i="12" s="1"/>
  <c r="X90" i="15" s="1"/>
  <c r="J125" i="12"/>
  <c r="J133" i="12"/>
  <c r="J120" i="12"/>
  <c r="J126" i="12"/>
  <c r="K108" i="12"/>
  <c r="K113" i="12" s="1"/>
  <c r="K114" i="12" s="1"/>
  <c r="K93" i="12"/>
  <c r="L92" i="12"/>
  <c r="L137" i="12" s="1"/>
  <c r="L142" i="12" s="1"/>
  <c r="L85" i="12"/>
  <c r="L90" i="12" s="1"/>
  <c r="S79" i="12"/>
  <c r="S80" i="12"/>
  <c r="S81" i="11"/>
  <c r="S83" i="11"/>
  <c r="S84" i="11" s="1"/>
  <c r="H150" i="11"/>
  <c r="I130" i="11"/>
  <c r="I134" i="11"/>
  <c r="I135" i="11" s="1"/>
  <c r="I140" i="11" s="1"/>
  <c r="V90" i="15" s="1"/>
  <c r="J120" i="11"/>
  <c r="J125" i="11"/>
  <c r="J126" i="11"/>
  <c r="J133" i="11"/>
  <c r="K108" i="11"/>
  <c r="K113" i="11" s="1"/>
  <c r="K114" i="11" s="1"/>
  <c r="K93" i="11"/>
  <c r="L92" i="11"/>
  <c r="L137" i="11" s="1"/>
  <c r="L142" i="11" s="1"/>
  <c r="L85" i="11"/>
  <c r="L90" i="11" s="1"/>
  <c r="H150" i="3"/>
  <c r="K86" i="3"/>
  <c r="K88" i="3"/>
  <c r="K87" i="3"/>
  <c r="L82" i="3"/>
  <c r="J119" i="3"/>
  <c r="J116" i="3"/>
  <c r="J117" i="3" s="1"/>
  <c r="J115" i="3"/>
  <c r="I130" i="3"/>
  <c r="I71" i="13" s="1"/>
  <c r="I134" i="3"/>
  <c r="I135" i="3" s="1"/>
  <c r="I140" i="3" s="1"/>
  <c r="W90" i="15" s="1"/>
  <c r="R81" i="3"/>
  <c r="R83" i="3"/>
  <c r="R84" i="3" s="1"/>
  <c r="I127" i="3"/>
  <c r="J124" i="3" s="1"/>
  <c r="K91" i="3"/>
  <c r="K118" i="3" s="1"/>
  <c r="K136" i="3" s="1"/>
  <c r="K90" i="3"/>
  <c r="S83" i="3" l="1"/>
  <c r="S84" i="3" s="1"/>
  <c r="H57" i="2"/>
  <c r="S81" i="3"/>
  <c r="H58" i="2" s="1"/>
  <c r="B29" i="1"/>
  <c r="H60" i="2"/>
  <c r="B28" i="1"/>
  <c r="L89" i="11"/>
  <c r="L91" i="11"/>
  <c r="L118" i="11" s="1"/>
  <c r="L136" i="11" s="1"/>
  <c r="L91" i="12"/>
  <c r="L118" i="12" s="1"/>
  <c r="L136" i="12" s="1"/>
  <c r="L89" i="12"/>
  <c r="F63" i="2"/>
  <c r="I29" i="9"/>
  <c r="I148" i="12"/>
  <c r="I141" i="12"/>
  <c r="J127" i="12"/>
  <c r="K124" i="12" s="1"/>
  <c r="J128" i="12"/>
  <c r="J129" i="12" s="1"/>
  <c r="K115" i="12"/>
  <c r="K116" i="12"/>
  <c r="K117" i="12" s="1"/>
  <c r="K119" i="12"/>
  <c r="L87" i="12"/>
  <c r="L86" i="12"/>
  <c r="L88" i="12"/>
  <c r="M82" i="12"/>
  <c r="S81" i="12"/>
  <c r="S83" i="12"/>
  <c r="S84" i="12" s="1"/>
  <c r="I148" i="11"/>
  <c r="I141" i="11"/>
  <c r="J127" i="11"/>
  <c r="K124" i="11" s="1"/>
  <c r="J128" i="11"/>
  <c r="J129" i="11" s="1"/>
  <c r="K119" i="11"/>
  <c r="K116" i="11"/>
  <c r="K117" i="11" s="1"/>
  <c r="K115" i="11"/>
  <c r="L86" i="11"/>
  <c r="L87" i="11"/>
  <c r="M82" i="11"/>
  <c r="L88" i="11"/>
  <c r="K93" i="3"/>
  <c r="K108" i="3"/>
  <c r="K113" i="3" s="1"/>
  <c r="K114" i="3" s="1"/>
  <c r="L92" i="3"/>
  <c r="L137" i="3" s="1"/>
  <c r="L142" i="3" s="1"/>
  <c r="L85" i="3"/>
  <c r="L89" i="3" s="1"/>
  <c r="J133" i="3"/>
  <c r="J126" i="3"/>
  <c r="J120" i="3"/>
  <c r="J125" i="3"/>
  <c r="I148" i="3"/>
  <c r="I141" i="3"/>
  <c r="F64" i="2" l="1"/>
  <c r="I65" i="13"/>
  <c r="I150" i="12"/>
  <c r="J130" i="12"/>
  <c r="J134" i="12"/>
  <c r="J135" i="12" s="1"/>
  <c r="J140" i="12" s="1"/>
  <c r="X91" i="15" s="1"/>
  <c r="K120" i="12"/>
  <c r="K126" i="12"/>
  <c r="K133" i="12"/>
  <c r="K125" i="12"/>
  <c r="L108" i="12"/>
  <c r="L113" i="12" s="1"/>
  <c r="L114" i="12" s="1"/>
  <c r="L93" i="12"/>
  <c r="M92" i="12"/>
  <c r="M137" i="12" s="1"/>
  <c r="M142" i="12" s="1"/>
  <c r="M85" i="12"/>
  <c r="M89" i="12" s="1"/>
  <c r="I150" i="11"/>
  <c r="J130" i="11"/>
  <c r="J134" i="11"/>
  <c r="J135" i="11" s="1"/>
  <c r="J140" i="11" s="1"/>
  <c r="V91" i="15" s="1"/>
  <c r="K133" i="11"/>
  <c r="K120" i="11"/>
  <c r="K126" i="11"/>
  <c r="K125" i="11"/>
  <c r="L108" i="11"/>
  <c r="L113" i="11" s="1"/>
  <c r="L114" i="11" s="1"/>
  <c r="L93" i="11"/>
  <c r="M92" i="11"/>
  <c r="M137" i="11" s="1"/>
  <c r="M142" i="11" s="1"/>
  <c r="M85" i="11"/>
  <c r="M89" i="11" s="1"/>
  <c r="K119" i="3"/>
  <c r="K115" i="3"/>
  <c r="K116" i="3"/>
  <c r="K117" i="3" s="1"/>
  <c r="L87" i="3"/>
  <c r="L86" i="3"/>
  <c r="L88" i="3"/>
  <c r="M82" i="3"/>
  <c r="I150" i="3"/>
  <c r="L90" i="3"/>
  <c r="L91" i="3"/>
  <c r="L118" i="3" s="1"/>
  <c r="L136" i="3" s="1"/>
  <c r="J127" i="3"/>
  <c r="K124" i="3" s="1"/>
  <c r="J128" i="3"/>
  <c r="J129" i="3" s="1"/>
  <c r="M91" i="12" l="1"/>
  <c r="M118" i="12" s="1"/>
  <c r="M136" i="12" s="1"/>
  <c r="M90" i="12"/>
  <c r="M90" i="11"/>
  <c r="M91" i="11"/>
  <c r="M118" i="11" s="1"/>
  <c r="M136" i="11" s="1"/>
  <c r="B181" i="12"/>
  <c r="B182" i="12" s="1"/>
  <c r="J141" i="12"/>
  <c r="J148" i="12"/>
  <c r="K127" i="12"/>
  <c r="L124" i="12" s="1"/>
  <c r="K128" i="12"/>
  <c r="K129" i="12" s="1"/>
  <c r="L116" i="12"/>
  <c r="L117" i="12" s="1"/>
  <c r="L119" i="12"/>
  <c r="L115" i="12"/>
  <c r="M87" i="12"/>
  <c r="M86" i="12"/>
  <c r="M88" i="12"/>
  <c r="N82" i="12"/>
  <c r="B181" i="11"/>
  <c r="B182" i="11" s="1"/>
  <c r="J148" i="11"/>
  <c r="J141" i="11"/>
  <c r="K127" i="11"/>
  <c r="L124" i="11" s="1"/>
  <c r="K128" i="11"/>
  <c r="K129" i="11" s="1"/>
  <c r="L115" i="11"/>
  <c r="L119" i="11"/>
  <c r="L116" i="11"/>
  <c r="L117" i="11" s="1"/>
  <c r="M86" i="11"/>
  <c r="M87" i="11"/>
  <c r="N82" i="11"/>
  <c r="M88" i="11"/>
  <c r="K125" i="3"/>
  <c r="K128" i="3" s="1"/>
  <c r="K129" i="3" s="1"/>
  <c r="K120" i="3"/>
  <c r="K133" i="3"/>
  <c r="K126" i="3"/>
  <c r="L93" i="3"/>
  <c r="L108" i="3"/>
  <c r="L113" i="3" s="1"/>
  <c r="L114" i="3" s="1"/>
  <c r="M85" i="3"/>
  <c r="M92" i="3"/>
  <c r="M137" i="3" s="1"/>
  <c r="M142" i="3" s="1"/>
  <c r="M91" i="3"/>
  <c r="M118" i="3" s="1"/>
  <c r="M136" i="3" s="1"/>
  <c r="J130" i="3"/>
  <c r="J71" i="13" s="1"/>
  <c r="J134" i="3"/>
  <c r="J135" i="3" s="1"/>
  <c r="J140" i="3" s="1"/>
  <c r="W91" i="15" s="1"/>
  <c r="M90" i="3" l="1"/>
  <c r="M89" i="3"/>
  <c r="B184" i="12"/>
  <c r="G11" i="2" s="1"/>
  <c r="D17" i="1" s="1"/>
  <c r="B185" i="12"/>
  <c r="H11" i="2" s="1"/>
  <c r="J150" i="12"/>
  <c r="K130" i="12"/>
  <c r="K134" i="12"/>
  <c r="K135" i="12" s="1"/>
  <c r="K140" i="12" s="1"/>
  <c r="X92" i="15" s="1"/>
  <c r="L120" i="12"/>
  <c r="L126" i="12"/>
  <c r="L133" i="12"/>
  <c r="L125" i="12"/>
  <c r="M108" i="12"/>
  <c r="M113" i="12" s="1"/>
  <c r="M114" i="12" s="1"/>
  <c r="M93" i="12"/>
  <c r="N92" i="12"/>
  <c r="N137" i="12" s="1"/>
  <c r="N142" i="12" s="1"/>
  <c r="N85" i="12"/>
  <c r="N89" i="12" s="1"/>
  <c r="B184" i="11"/>
  <c r="G9" i="2" s="1"/>
  <c r="B17" i="1" s="1"/>
  <c r="B185" i="11"/>
  <c r="H9" i="2" s="1"/>
  <c r="J150" i="11"/>
  <c r="K130" i="11"/>
  <c r="K134" i="11"/>
  <c r="K135" i="11" s="1"/>
  <c r="K140" i="11" s="1"/>
  <c r="V92" i="15" s="1"/>
  <c r="L125" i="11"/>
  <c r="L120" i="11"/>
  <c r="L126" i="11"/>
  <c r="L133" i="11"/>
  <c r="M108" i="11"/>
  <c r="M113" i="11" s="1"/>
  <c r="M114" i="11" s="1"/>
  <c r="M93" i="11"/>
  <c r="N92" i="11"/>
  <c r="N137" i="11" s="1"/>
  <c r="N142" i="11" s="1"/>
  <c r="N85" i="11"/>
  <c r="N89" i="11" s="1"/>
  <c r="L116" i="3"/>
  <c r="L117" i="3" s="1"/>
  <c r="L115" i="3"/>
  <c r="L119" i="3"/>
  <c r="M88" i="3"/>
  <c r="M87" i="3"/>
  <c r="M86" i="3"/>
  <c r="N82" i="3"/>
  <c r="J148" i="3"/>
  <c r="J141" i="3"/>
  <c r="J65" i="13" s="1"/>
  <c r="B181" i="3"/>
  <c r="B182" i="3" s="1"/>
  <c r="G12" i="2" s="1"/>
  <c r="E17" i="1" s="1"/>
  <c r="K127" i="3"/>
  <c r="L124" i="3" s="1"/>
  <c r="K134" i="3"/>
  <c r="K135" i="3" s="1"/>
  <c r="K140" i="3" s="1"/>
  <c r="W92" i="15" s="1"/>
  <c r="K130" i="3"/>
  <c r="K71" i="13" s="1"/>
  <c r="N91" i="12" l="1"/>
  <c r="N118" i="12" s="1"/>
  <c r="N136" i="12" s="1"/>
  <c r="N90" i="12"/>
  <c r="N90" i="11"/>
  <c r="N91" i="11"/>
  <c r="N118" i="11" s="1"/>
  <c r="N136" i="11" s="1"/>
  <c r="K141" i="12"/>
  <c r="K148" i="12"/>
  <c r="L127" i="12"/>
  <c r="M124" i="12" s="1"/>
  <c r="L128" i="12"/>
  <c r="L129" i="12" s="1"/>
  <c r="M115" i="12"/>
  <c r="M119" i="12"/>
  <c r="M116" i="12"/>
  <c r="M117" i="12" s="1"/>
  <c r="N86" i="12"/>
  <c r="N87" i="12"/>
  <c r="N88" i="12"/>
  <c r="O82" i="12"/>
  <c r="K148" i="11"/>
  <c r="K141" i="11"/>
  <c r="L127" i="11"/>
  <c r="M124" i="11" s="1"/>
  <c r="L128" i="11"/>
  <c r="L129" i="11" s="1"/>
  <c r="M115" i="11"/>
  <c r="M116" i="11"/>
  <c r="M117" i="11" s="1"/>
  <c r="M119" i="11"/>
  <c r="N87" i="11"/>
  <c r="N86" i="11"/>
  <c r="N88" i="11"/>
  <c r="O82" i="11"/>
  <c r="L120" i="3"/>
  <c r="L125" i="3"/>
  <c r="L133" i="3"/>
  <c r="L126" i="3"/>
  <c r="M108" i="3"/>
  <c r="M113" i="3" s="1"/>
  <c r="M114" i="3" s="1"/>
  <c r="M93" i="3"/>
  <c r="N92" i="3"/>
  <c r="N137" i="3" s="1"/>
  <c r="N142" i="3" s="1"/>
  <c r="N85" i="3"/>
  <c r="N91" i="3" s="1"/>
  <c r="N118" i="3" s="1"/>
  <c r="N136" i="3" s="1"/>
  <c r="J150" i="3"/>
  <c r="B184" i="3"/>
  <c r="G10" i="2" s="1"/>
  <c r="B185" i="3"/>
  <c r="H10" i="2" s="1"/>
  <c r="H12" i="2" s="1"/>
  <c r="K141" i="3"/>
  <c r="K65" i="13" s="1"/>
  <c r="K148" i="3"/>
  <c r="N90" i="3" l="1"/>
  <c r="N89" i="3"/>
  <c r="C17" i="1"/>
  <c r="B20" i="2"/>
  <c r="K150" i="12"/>
  <c r="L130" i="12"/>
  <c r="L134" i="12"/>
  <c r="L135" i="12" s="1"/>
  <c r="L140" i="12" s="1"/>
  <c r="X93" i="15" s="1"/>
  <c r="M120" i="12"/>
  <c r="M125" i="12"/>
  <c r="M126" i="12"/>
  <c r="M133" i="12"/>
  <c r="N108" i="12"/>
  <c r="N113" i="12" s="1"/>
  <c r="N114" i="12" s="1"/>
  <c r="N93" i="12"/>
  <c r="O92" i="12"/>
  <c r="O137" i="12" s="1"/>
  <c r="O142" i="12" s="1"/>
  <c r="O85" i="12"/>
  <c r="O89" i="12" s="1"/>
  <c r="K150" i="11"/>
  <c r="L130" i="11"/>
  <c r="L134" i="11"/>
  <c r="L135" i="11" s="1"/>
  <c r="L140" i="11" s="1"/>
  <c r="V93" i="15" s="1"/>
  <c r="M126" i="11"/>
  <c r="M120" i="11"/>
  <c r="M125" i="11"/>
  <c r="M133" i="11"/>
  <c r="N108" i="11"/>
  <c r="N113" i="11" s="1"/>
  <c r="N114" i="11" s="1"/>
  <c r="N93" i="11"/>
  <c r="O92" i="11"/>
  <c r="O137" i="11" s="1"/>
  <c r="O142" i="11" s="1"/>
  <c r="O85" i="11"/>
  <c r="O90" i="11" s="1"/>
  <c r="M116" i="3"/>
  <c r="M117" i="3" s="1"/>
  <c r="M115" i="3"/>
  <c r="M119" i="3"/>
  <c r="O82" i="3"/>
  <c r="N86" i="3"/>
  <c r="G59" i="2" s="1"/>
  <c r="N88" i="3"/>
  <c r="N87" i="3"/>
  <c r="L127" i="3"/>
  <c r="M124" i="3" s="1"/>
  <c r="L128" i="3"/>
  <c r="L129" i="3" s="1"/>
  <c r="K150" i="3"/>
  <c r="O91" i="11" l="1"/>
  <c r="O118" i="11" s="1"/>
  <c r="O136" i="11" s="1"/>
  <c r="O89" i="11"/>
  <c r="L141" i="12"/>
  <c r="L148" i="12"/>
  <c r="M127" i="12"/>
  <c r="N124" i="12" s="1"/>
  <c r="M128" i="12"/>
  <c r="M129" i="12" s="1"/>
  <c r="N115" i="12"/>
  <c r="N119" i="12"/>
  <c r="N116" i="12"/>
  <c r="N117" i="12" s="1"/>
  <c r="O86" i="12"/>
  <c r="O87" i="12"/>
  <c r="P82" i="12"/>
  <c r="O88" i="12"/>
  <c r="O91" i="12"/>
  <c r="O118" i="12" s="1"/>
  <c r="O136" i="12" s="1"/>
  <c r="O90" i="12"/>
  <c r="L148" i="11"/>
  <c r="L141" i="11"/>
  <c r="M127" i="11"/>
  <c r="N124" i="11" s="1"/>
  <c r="M128" i="11"/>
  <c r="M129" i="11" s="1"/>
  <c r="N116" i="11"/>
  <c r="N117" i="11" s="1"/>
  <c r="N115" i="11"/>
  <c r="N119" i="11"/>
  <c r="O87" i="11"/>
  <c r="O86" i="11"/>
  <c r="O88" i="11"/>
  <c r="P82" i="11"/>
  <c r="M120" i="3"/>
  <c r="M125" i="3"/>
  <c r="M128" i="3" s="1"/>
  <c r="M129" i="3" s="1"/>
  <c r="M126" i="3"/>
  <c r="M133" i="3"/>
  <c r="O85" i="3"/>
  <c r="O89" i="3" s="1"/>
  <c r="O90" i="3"/>
  <c r="O92" i="3"/>
  <c r="O137" i="3" s="1"/>
  <c r="O142" i="3" s="1"/>
  <c r="N93" i="3"/>
  <c r="N108" i="3"/>
  <c r="N113" i="3" s="1"/>
  <c r="N114" i="3" s="1"/>
  <c r="L130" i="3"/>
  <c r="L71" i="13" s="1"/>
  <c r="L134" i="3"/>
  <c r="L135" i="3" s="1"/>
  <c r="L140" i="3" s="1"/>
  <c r="W93" i="15" s="1"/>
  <c r="L150" i="12" l="1"/>
  <c r="M130" i="12"/>
  <c r="M134" i="12"/>
  <c r="M135" i="12" s="1"/>
  <c r="M140" i="12" s="1"/>
  <c r="X94" i="15" s="1"/>
  <c r="N120" i="12"/>
  <c r="N125" i="12"/>
  <c r="N126" i="12"/>
  <c r="N133" i="12"/>
  <c r="O108" i="12"/>
  <c r="O113" i="12" s="1"/>
  <c r="O114" i="12" s="1"/>
  <c r="O93" i="12"/>
  <c r="P92" i="12"/>
  <c r="P137" i="12" s="1"/>
  <c r="P142" i="12" s="1"/>
  <c r="P85" i="12"/>
  <c r="L150" i="11"/>
  <c r="M130" i="11"/>
  <c r="M134" i="11"/>
  <c r="M135" i="11" s="1"/>
  <c r="M140" i="11" s="1"/>
  <c r="V94" i="15" s="1"/>
  <c r="N133" i="11"/>
  <c r="N120" i="11"/>
  <c r="N126" i="11"/>
  <c r="N125" i="11"/>
  <c r="O108" i="11"/>
  <c r="O113" i="11" s="1"/>
  <c r="O114" i="11" s="1"/>
  <c r="O93" i="11"/>
  <c r="P92" i="11"/>
  <c r="P137" i="11" s="1"/>
  <c r="P142" i="11" s="1"/>
  <c r="P85" i="11"/>
  <c r="P89" i="11" s="1"/>
  <c r="O86" i="3"/>
  <c r="P82" i="3"/>
  <c r="O87" i="3"/>
  <c r="O88" i="3"/>
  <c r="O91" i="3"/>
  <c r="O118" i="3" s="1"/>
  <c r="O136" i="3" s="1"/>
  <c r="N115" i="3"/>
  <c r="N116" i="3"/>
  <c r="N117" i="3" s="1"/>
  <c r="G61" i="2" s="1"/>
  <c r="N119" i="3"/>
  <c r="L141" i="3"/>
  <c r="L65" i="13" s="1"/>
  <c r="L148" i="3"/>
  <c r="M127" i="3"/>
  <c r="N124" i="3" s="1"/>
  <c r="M130" i="3"/>
  <c r="M71" i="13" s="1"/>
  <c r="M134" i="3"/>
  <c r="M135" i="3" s="1"/>
  <c r="M140" i="3" s="1"/>
  <c r="W94" i="15" s="1"/>
  <c r="P90" i="12" l="1"/>
  <c r="P91" i="12"/>
  <c r="P118" i="12" s="1"/>
  <c r="P136" i="12" s="1"/>
  <c r="P89" i="12"/>
  <c r="P90" i="11"/>
  <c r="P91" i="11"/>
  <c r="P118" i="11" s="1"/>
  <c r="P136" i="11" s="1"/>
  <c r="M141" i="12"/>
  <c r="M148" i="12"/>
  <c r="N127" i="12"/>
  <c r="O124" i="12" s="1"/>
  <c r="N128" i="12"/>
  <c r="N129" i="12" s="1"/>
  <c r="O115" i="12"/>
  <c r="O119" i="12"/>
  <c r="O116" i="12"/>
  <c r="O117" i="12" s="1"/>
  <c r="P87" i="12"/>
  <c r="P86" i="12"/>
  <c r="Q82" i="12"/>
  <c r="P88" i="12"/>
  <c r="M148" i="11"/>
  <c r="M141" i="11"/>
  <c r="N127" i="11"/>
  <c r="O124" i="11" s="1"/>
  <c r="N128" i="11"/>
  <c r="N129" i="11" s="1"/>
  <c r="O116" i="11"/>
  <c r="O117" i="11" s="1"/>
  <c r="O115" i="11"/>
  <c r="O119" i="11"/>
  <c r="P87" i="11"/>
  <c r="P86" i="11"/>
  <c r="Q82" i="11"/>
  <c r="P88" i="11"/>
  <c r="O93" i="3"/>
  <c r="O108" i="3"/>
  <c r="O113" i="3" s="1"/>
  <c r="O114" i="3" s="1"/>
  <c r="P85" i="3"/>
  <c r="P92" i="3"/>
  <c r="P137" i="3" s="1"/>
  <c r="P142" i="3" s="1"/>
  <c r="N126" i="3"/>
  <c r="N133" i="3"/>
  <c r="N125" i="3"/>
  <c r="N120" i="3"/>
  <c r="G62" i="2" s="1"/>
  <c r="L150" i="3"/>
  <c r="M148" i="3"/>
  <c r="M141" i="3"/>
  <c r="M65" i="13" s="1"/>
  <c r="P90" i="3" l="1"/>
  <c r="P89" i="3"/>
  <c r="M150" i="12"/>
  <c r="N130" i="12"/>
  <c r="N134" i="12"/>
  <c r="N135" i="12" s="1"/>
  <c r="N140" i="12" s="1"/>
  <c r="X95" i="15" s="1"/>
  <c r="O120" i="12"/>
  <c r="O125" i="12"/>
  <c r="O126" i="12"/>
  <c r="O133" i="12"/>
  <c r="P108" i="12"/>
  <c r="P113" i="12" s="1"/>
  <c r="P114" i="12" s="1"/>
  <c r="P93" i="12"/>
  <c r="Q92" i="12"/>
  <c r="Q137" i="12" s="1"/>
  <c r="Q142" i="12" s="1"/>
  <c r="Q85" i="12"/>
  <c r="Q89" i="12" s="1"/>
  <c r="M150" i="11"/>
  <c r="N130" i="11"/>
  <c r="N134" i="11"/>
  <c r="N135" i="11" s="1"/>
  <c r="N140" i="11" s="1"/>
  <c r="V95" i="15" s="1"/>
  <c r="O126" i="11"/>
  <c r="O120" i="11"/>
  <c r="O125" i="11"/>
  <c r="O133" i="11"/>
  <c r="P108" i="11"/>
  <c r="P113" i="11" s="1"/>
  <c r="P114" i="11" s="1"/>
  <c r="P93" i="11"/>
  <c r="Q92" i="11"/>
  <c r="Q137" i="11" s="1"/>
  <c r="Q142" i="11" s="1"/>
  <c r="Q85" i="11"/>
  <c r="Q89" i="11" s="1"/>
  <c r="O115" i="3"/>
  <c r="O116" i="3"/>
  <c r="O117" i="3" s="1"/>
  <c r="O119" i="3"/>
  <c r="P86" i="3"/>
  <c r="P88" i="3"/>
  <c r="Q82" i="3"/>
  <c r="P87" i="3"/>
  <c r="P91" i="3"/>
  <c r="P118" i="3" s="1"/>
  <c r="P136" i="3" s="1"/>
  <c r="N127" i="3"/>
  <c r="O124" i="3" s="1"/>
  <c r="N128" i="3"/>
  <c r="N129" i="3" s="1"/>
  <c r="M150" i="3"/>
  <c r="N141" i="12" l="1"/>
  <c r="N148" i="12"/>
  <c r="O127" i="12"/>
  <c r="P124" i="12" s="1"/>
  <c r="O128" i="12"/>
  <c r="O129" i="12" s="1"/>
  <c r="P115" i="12"/>
  <c r="P119" i="12"/>
  <c r="P116" i="12"/>
  <c r="P117" i="12" s="1"/>
  <c r="Q86" i="12"/>
  <c r="Q87" i="12"/>
  <c r="Q88" i="12"/>
  <c r="R82" i="12"/>
  <c r="Q90" i="12"/>
  <c r="Q91" i="12"/>
  <c r="Q118" i="12" s="1"/>
  <c r="Q136" i="12" s="1"/>
  <c r="N148" i="11"/>
  <c r="N141" i="11"/>
  <c r="O127" i="11"/>
  <c r="P124" i="11" s="1"/>
  <c r="O128" i="11"/>
  <c r="O129" i="11" s="1"/>
  <c r="P115" i="11"/>
  <c r="P116" i="11"/>
  <c r="P117" i="11" s="1"/>
  <c r="P119" i="11"/>
  <c r="Q87" i="11"/>
  <c r="Q86" i="11"/>
  <c r="Q88" i="11"/>
  <c r="R82" i="11"/>
  <c r="Q90" i="11"/>
  <c r="Q91" i="11"/>
  <c r="Q118" i="11" s="1"/>
  <c r="Q136" i="11" s="1"/>
  <c r="O125" i="3"/>
  <c r="O120" i="3"/>
  <c r="O133" i="3"/>
  <c r="O126" i="3"/>
  <c r="P108" i="3"/>
  <c r="P113" i="3" s="1"/>
  <c r="P114" i="3" s="1"/>
  <c r="P93" i="3"/>
  <c r="Q92" i="3"/>
  <c r="Q137" i="3" s="1"/>
  <c r="Q142" i="3" s="1"/>
  <c r="Q85" i="3"/>
  <c r="N130" i="3"/>
  <c r="N71" i="13" s="1"/>
  <c r="N134" i="3"/>
  <c r="N135" i="3" s="1"/>
  <c r="N140" i="3" s="1"/>
  <c r="G63" i="2" l="1"/>
  <c r="W95" i="15"/>
  <c r="Q90" i="3"/>
  <c r="Q89" i="3"/>
  <c r="N150" i="12"/>
  <c r="O130" i="12"/>
  <c r="O134" i="12"/>
  <c r="O135" i="12" s="1"/>
  <c r="O140" i="12" s="1"/>
  <c r="X96" i="15" s="1"/>
  <c r="P120" i="12"/>
  <c r="P133" i="12"/>
  <c r="P125" i="12"/>
  <c r="P126" i="12"/>
  <c r="Q108" i="12"/>
  <c r="Q113" i="12" s="1"/>
  <c r="Q114" i="12" s="1"/>
  <c r="Q93" i="12"/>
  <c r="R92" i="12"/>
  <c r="R137" i="12" s="1"/>
  <c r="R142" i="12" s="1"/>
  <c r="R85" i="12"/>
  <c r="R89" i="12" s="1"/>
  <c r="N150" i="11"/>
  <c r="O130" i="11"/>
  <c r="O134" i="11"/>
  <c r="O135" i="11" s="1"/>
  <c r="O140" i="11" s="1"/>
  <c r="V96" i="15" s="1"/>
  <c r="P133" i="11"/>
  <c r="P126" i="11"/>
  <c r="P120" i="11"/>
  <c r="P125" i="11"/>
  <c r="Q108" i="11"/>
  <c r="Q113" i="11" s="1"/>
  <c r="Q114" i="11" s="1"/>
  <c r="Q93" i="11"/>
  <c r="R92" i="11"/>
  <c r="R137" i="11" s="1"/>
  <c r="R142" i="11" s="1"/>
  <c r="R85" i="11"/>
  <c r="R90" i="11" s="1"/>
  <c r="O127" i="3"/>
  <c r="P124" i="3" s="1"/>
  <c r="O128" i="3"/>
  <c r="O129" i="3" s="1"/>
  <c r="P116" i="3"/>
  <c r="P117" i="3" s="1"/>
  <c r="P115" i="3"/>
  <c r="P119" i="3"/>
  <c r="Q88" i="3"/>
  <c r="R82" i="3"/>
  <c r="Q86" i="3"/>
  <c r="Q87" i="3"/>
  <c r="Q91" i="3"/>
  <c r="Q118" i="3" s="1"/>
  <c r="Q136" i="3" s="1"/>
  <c r="N141" i="3"/>
  <c r="N148" i="3"/>
  <c r="G64" i="2" l="1"/>
  <c r="N65" i="13"/>
  <c r="R91" i="11"/>
  <c r="R118" i="11" s="1"/>
  <c r="R136" i="11" s="1"/>
  <c r="R89" i="11"/>
  <c r="O141" i="12"/>
  <c r="O148" i="12"/>
  <c r="P127" i="12"/>
  <c r="Q124" i="12" s="1"/>
  <c r="P128" i="12"/>
  <c r="P129" i="12" s="1"/>
  <c r="Q115" i="12"/>
  <c r="Q119" i="12"/>
  <c r="Q116" i="12"/>
  <c r="Q117" i="12" s="1"/>
  <c r="R86" i="12"/>
  <c r="R87" i="12"/>
  <c r="S82" i="12"/>
  <c r="R88" i="12"/>
  <c r="R91" i="12"/>
  <c r="R118" i="12" s="1"/>
  <c r="R136" i="12" s="1"/>
  <c r="R90" i="12"/>
  <c r="O148" i="11"/>
  <c r="O141" i="11"/>
  <c r="P127" i="11"/>
  <c r="Q124" i="11" s="1"/>
  <c r="P128" i="11"/>
  <c r="P129" i="11" s="1"/>
  <c r="Q115" i="11"/>
  <c r="Q116" i="11"/>
  <c r="Q117" i="11" s="1"/>
  <c r="Q119" i="11"/>
  <c r="R87" i="11"/>
  <c r="R86" i="11"/>
  <c r="R88" i="11"/>
  <c r="S82" i="11"/>
  <c r="O130" i="3"/>
  <c r="O71" i="13" s="1"/>
  <c r="O134" i="3"/>
  <c r="O135" i="3" s="1"/>
  <c r="O140" i="3" s="1"/>
  <c r="W96" i="15" s="1"/>
  <c r="P126" i="3"/>
  <c r="P125" i="3"/>
  <c r="P133" i="3"/>
  <c r="P120" i="3"/>
  <c r="R92" i="3"/>
  <c r="R137" i="3" s="1"/>
  <c r="R142" i="3" s="1"/>
  <c r="R85" i="3"/>
  <c r="R90" i="3"/>
  <c r="Q93" i="3"/>
  <c r="Q108" i="3"/>
  <c r="Q113" i="3" s="1"/>
  <c r="Q114" i="3" s="1"/>
  <c r="N150" i="3"/>
  <c r="R91" i="3" l="1"/>
  <c r="R118" i="3" s="1"/>
  <c r="R136" i="3" s="1"/>
  <c r="R89" i="3"/>
  <c r="O150" i="12"/>
  <c r="P130" i="12"/>
  <c r="P134" i="12"/>
  <c r="P135" i="12" s="1"/>
  <c r="P140" i="12" s="1"/>
  <c r="X97" i="15" s="1"/>
  <c r="Q125" i="12"/>
  <c r="Q133" i="12"/>
  <c r="Q120" i="12"/>
  <c r="Q126" i="12"/>
  <c r="R108" i="12"/>
  <c r="R113" i="12" s="1"/>
  <c r="R114" i="12" s="1"/>
  <c r="R93" i="12"/>
  <c r="S92" i="12"/>
  <c r="S137" i="12" s="1"/>
  <c r="S142" i="12" s="1"/>
  <c r="S85" i="12"/>
  <c r="S91" i="12" s="1"/>
  <c r="S118" i="12" s="1"/>
  <c r="S136" i="12" s="1"/>
  <c r="O150" i="11"/>
  <c r="P130" i="11"/>
  <c r="P134" i="11"/>
  <c r="P135" i="11" s="1"/>
  <c r="P140" i="11" s="1"/>
  <c r="V97" i="15" s="1"/>
  <c r="Q126" i="11"/>
  <c r="Q133" i="11"/>
  <c r="Q125" i="11"/>
  <c r="Q120" i="11"/>
  <c r="R108" i="11"/>
  <c r="R113" i="11" s="1"/>
  <c r="R114" i="11" s="1"/>
  <c r="R93" i="11"/>
  <c r="S92" i="11"/>
  <c r="S137" i="11" s="1"/>
  <c r="S142" i="11" s="1"/>
  <c r="S85" i="11"/>
  <c r="O148" i="3"/>
  <c r="O141" i="3"/>
  <c r="O65" i="13" s="1"/>
  <c r="R88" i="3"/>
  <c r="S82" i="3"/>
  <c r="R87" i="3"/>
  <c r="R86" i="3"/>
  <c r="Q115" i="3"/>
  <c r="Q116" i="3"/>
  <c r="Q117" i="3" s="1"/>
  <c r="Q119" i="3"/>
  <c r="P127" i="3"/>
  <c r="Q124" i="3" s="1"/>
  <c r="P128" i="3"/>
  <c r="P129" i="3" s="1"/>
  <c r="S90" i="12" l="1"/>
  <c r="S89" i="12"/>
  <c r="S91" i="11"/>
  <c r="S118" i="11" s="1"/>
  <c r="S136" i="11" s="1"/>
  <c r="S90" i="11"/>
  <c r="S89" i="11"/>
  <c r="P148" i="12"/>
  <c r="P141" i="12"/>
  <c r="Q127" i="12"/>
  <c r="R124" i="12" s="1"/>
  <c r="Q128" i="12"/>
  <c r="Q129" i="12" s="1"/>
  <c r="R116" i="12"/>
  <c r="R117" i="12" s="1"/>
  <c r="R115" i="12"/>
  <c r="R119" i="12"/>
  <c r="S86" i="12"/>
  <c r="S87" i="12"/>
  <c r="S88" i="12"/>
  <c r="P141" i="11"/>
  <c r="P148" i="11"/>
  <c r="Q127" i="11"/>
  <c r="R124" i="11" s="1"/>
  <c r="Q128" i="11"/>
  <c r="Q129" i="11" s="1"/>
  <c r="R115" i="11"/>
  <c r="R119" i="11"/>
  <c r="R116" i="11"/>
  <c r="R117" i="11" s="1"/>
  <c r="S86" i="11"/>
  <c r="S87" i="11"/>
  <c r="S88" i="11"/>
  <c r="O150" i="3"/>
  <c r="S85" i="3"/>
  <c r="S92" i="3"/>
  <c r="S137" i="3" s="1"/>
  <c r="S142" i="3" s="1"/>
  <c r="R93" i="3"/>
  <c r="R108" i="3"/>
  <c r="R113" i="3" s="1"/>
  <c r="R114" i="3" s="1"/>
  <c r="Q125" i="3"/>
  <c r="Q128" i="3" s="1"/>
  <c r="Q129" i="3" s="1"/>
  <c r="Q126" i="3"/>
  <c r="Q133" i="3"/>
  <c r="Q120" i="3"/>
  <c r="P130" i="3"/>
  <c r="P71" i="13" s="1"/>
  <c r="P134" i="3"/>
  <c r="P135" i="3" s="1"/>
  <c r="P140" i="3" s="1"/>
  <c r="W97" i="15" s="1"/>
  <c r="S91" i="3" l="1"/>
  <c r="S118" i="3" s="1"/>
  <c r="S136" i="3" s="1"/>
  <c r="S89" i="3"/>
  <c r="P150" i="12"/>
  <c r="Q130" i="12"/>
  <c r="Q134" i="12"/>
  <c r="Q135" i="12" s="1"/>
  <c r="Q140" i="12" s="1"/>
  <c r="X98" i="15" s="1"/>
  <c r="R120" i="12"/>
  <c r="R125" i="12"/>
  <c r="R126" i="12"/>
  <c r="R133" i="12"/>
  <c r="S108" i="12"/>
  <c r="S113" i="12" s="1"/>
  <c r="S114" i="12" s="1"/>
  <c r="S93" i="12"/>
  <c r="P150" i="11"/>
  <c r="Q130" i="11"/>
  <c r="Q134" i="11"/>
  <c r="Q135" i="11" s="1"/>
  <c r="Q140" i="11" s="1"/>
  <c r="V98" i="15" s="1"/>
  <c r="R120" i="11"/>
  <c r="R133" i="11"/>
  <c r="R126" i="11"/>
  <c r="R125" i="11"/>
  <c r="S108" i="11"/>
  <c r="S113" i="11" s="1"/>
  <c r="S114" i="11" s="1"/>
  <c r="S93" i="11"/>
  <c r="S88" i="3"/>
  <c r="S86" i="3"/>
  <c r="H59" i="2" s="1"/>
  <c r="S87" i="3"/>
  <c r="S90" i="3"/>
  <c r="R119" i="3"/>
  <c r="R116" i="3"/>
  <c r="R117" i="3" s="1"/>
  <c r="R115" i="3"/>
  <c r="Q134" i="3"/>
  <c r="Q135" i="3" s="1"/>
  <c r="Q140" i="3" s="1"/>
  <c r="W98" i="15" s="1"/>
  <c r="Q130" i="3"/>
  <c r="Q71" i="13" s="1"/>
  <c r="P141" i="3"/>
  <c r="P65" i="13" s="1"/>
  <c r="P148" i="3"/>
  <c r="Q127" i="3"/>
  <c r="R124" i="3" s="1"/>
  <c r="Q148" i="12" l="1"/>
  <c r="Q141" i="12"/>
  <c r="R127" i="12"/>
  <c r="S124" i="12" s="1"/>
  <c r="R128" i="12"/>
  <c r="R129" i="12" s="1"/>
  <c r="S116" i="12"/>
  <c r="S117" i="12" s="1"/>
  <c r="S115" i="12"/>
  <c r="S119" i="12"/>
  <c r="C156" i="12"/>
  <c r="C157" i="12"/>
  <c r="Q141" i="11"/>
  <c r="Q148" i="11"/>
  <c r="R127" i="11"/>
  <c r="S124" i="11" s="1"/>
  <c r="R128" i="11"/>
  <c r="R129" i="11" s="1"/>
  <c r="C156" i="11"/>
  <c r="S116" i="11"/>
  <c r="S117" i="11" s="1"/>
  <c r="S115" i="11"/>
  <c r="C157" i="11"/>
  <c r="S119" i="11"/>
  <c r="S93" i="3"/>
  <c r="S108" i="3"/>
  <c r="S113" i="3" s="1"/>
  <c r="S114" i="3" s="1"/>
  <c r="R120" i="3"/>
  <c r="R125" i="3"/>
  <c r="R128" i="3" s="1"/>
  <c r="R129" i="3" s="1"/>
  <c r="R126" i="3"/>
  <c r="R133" i="3"/>
  <c r="Q148" i="3"/>
  <c r="Q141" i="3"/>
  <c r="Q65" i="13" s="1"/>
  <c r="P150" i="3"/>
  <c r="Q150" i="3" l="1"/>
  <c r="Q150" i="12"/>
  <c r="R130" i="12"/>
  <c r="R134" i="12"/>
  <c r="R135" i="12" s="1"/>
  <c r="R140" i="12" s="1"/>
  <c r="X99" i="15" s="1"/>
  <c r="S120" i="12"/>
  <c r="S125" i="12"/>
  <c r="S126" i="12"/>
  <c r="S133" i="12"/>
  <c r="C159" i="12"/>
  <c r="Q150" i="11"/>
  <c r="R130" i="11"/>
  <c r="R134" i="11"/>
  <c r="R135" i="11" s="1"/>
  <c r="R140" i="11" s="1"/>
  <c r="V99" i="15" s="1"/>
  <c r="C159" i="11"/>
  <c r="S125" i="11"/>
  <c r="S133" i="11"/>
  <c r="S126" i="11"/>
  <c r="S120" i="11"/>
  <c r="S119" i="3"/>
  <c r="S116" i="3"/>
  <c r="S117" i="3" s="1"/>
  <c r="H61" i="2" s="1"/>
  <c r="S115" i="3"/>
  <c r="C157" i="3"/>
  <c r="C156" i="3"/>
  <c r="R130" i="3"/>
  <c r="R71" i="13" s="1"/>
  <c r="R134" i="3"/>
  <c r="R135" i="3" s="1"/>
  <c r="R140" i="3" s="1"/>
  <c r="W99" i="15" s="1"/>
  <c r="R127" i="3"/>
  <c r="S124" i="3" s="1"/>
  <c r="R148" i="12" l="1"/>
  <c r="R141" i="12"/>
  <c r="S127" i="12"/>
  <c r="S128" i="12"/>
  <c r="S129" i="12" s="1"/>
  <c r="R141" i="11"/>
  <c r="R148" i="11"/>
  <c r="S127" i="11"/>
  <c r="S128" i="11"/>
  <c r="S129" i="11" s="1"/>
  <c r="S133" i="3"/>
  <c r="S120" i="3"/>
  <c r="S126" i="3"/>
  <c r="S125" i="3"/>
  <c r="C159" i="3"/>
  <c r="C29" i="2" s="1"/>
  <c r="R141" i="3"/>
  <c r="R65" i="13" s="1"/>
  <c r="R148" i="3"/>
  <c r="H62" i="2" l="1"/>
  <c r="B30" i="1"/>
  <c r="S127" i="3"/>
  <c r="S128" i="3"/>
  <c r="S129" i="3" s="1"/>
  <c r="R150" i="12"/>
  <c r="S130" i="12"/>
  <c r="S134" i="12"/>
  <c r="S135" i="12" s="1"/>
  <c r="S140" i="12" s="1"/>
  <c r="R150" i="11"/>
  <c r="S130" i="11"/>
  <c r="S134" i="11"/>
  <c r="S135" i="11" s="1"/>
  <c r="S140" i="11" s="1"/>
  <c r="R150" i="3"/>
  <c r="B157" i="12" l="1"/>
  <c r="X100" i="15"/>
  <c r="B157" i="11"/>
  <c r="V100" i="15"/>
  <c r="S134" i="3"/>
  <c r="S135" i="3" s="1"/>
  <c r="S140" i="3" s="1"/>
  <c r="S130" i="3"/>
  <c r="S71" i="13" s="1"/>
  <c r="S148" i="12"/>
  <c r="B156" i="12"/>
  <c r="S141" i="12"/>
  <c r="C169" i="12"/>
  <c r="S141" i="11"/>
  <c r="B156" i="11"/>
  <c r="S148" i="11"/>
  <c r="C169" i="11"/>
  <c r="C169" i="3" l="1"/>
  <c r="S148" i="3"/>
  <c r="S141" i="3"/>
  <c r="B156" i="3"/>
  <c r="W100" i="15"/>
  <c r="H63" i="2"/>
  <c r="B157" i="3"/>
  <c r="B159" i="3" s="1"/>
  <c r="B29" i="2" s="1"/>
  <c r="C189" i="12" a="1"/>
  <c r="E190" i="12" a="1"/>
  <c r="C193" i="12" a="1"/>
  <c r="F192" i="12" a="1"/>
  <c r="E201" i="12" a="1"/>
  <c r="B201" i="12" a="1"/>
  <c r="D200" i="12" a="1"/>
  <c r="B191" i="12" a="1"/>
  <c r="C198" i="12" a="1"/>
  <c r="E198" i="12" a="1"/>
  <c r="F197" i="12" a="1"/>
  <c r="C201" i="12" a="1"/>
  <c r="D197" i="12" a="1"/>
  <c r="F200" i="12" a="1"/>
  <c r="E193" i="12" a="1"/>
  <c r="B193" i="12" a="1"/>
  <c r="F198" i="12" a="1"/>
  <c r="B197" i="12" a="1"/>
  <c r="F201" i="12" a="1"/>
  <c r="D190" i="12" a="1"/>
  <c r="B189" i="12" a="1"/>
  <c r="C191" i="12" a="1"/>
  <c r="B200" i="12" a="1"/>
  <c r="E189" i="12" a="1"/>
  <c r="E200" i="12" a="1"/>
  <c r="B192" i="12" a="1"/>
  <c r="B190" i="12" a="1"/>
  <c r="C199" i="12" a="1"/>
  <c r="D192" i="12" a="1"/>
  <c r="B198" i="12" a="1"/>
  <c r="C197" i="12" a="1"/>
  <c r="F199" i="12" a="1"/>
  <c r="E192" i="12" a="1"/>
  <c r="C192" i="12" a="1"/>
  <c r="D193" i="12" a="1"/>
  <c r="C190" i="12" a="1"/>
  <c r="F189" i="12" a="1"/>
  <c r="B199" i="12" a="1"/>
  <c r="D199" i="12" a="1"/>
  <c r="E191" i="12" a="1"/>
  <c r="F193" i="12" a="1"/>
  <c r="C200" i="12" a="1"/>
  <c r="F191" i="12" a="1"/>
  <c r="E197" i="12" a="1"/>
  <c r="D189" i="12" a="1"/>
  <c r="D191" i="12" a="1"/>
  <c r="D201" i="12" a="1"/>
  <c r="D198" i="12" a="1"/>
  <c r="E199" i="12" a="1"/>
  <c r="F190" i="12" a="1"/>
  <c r="E189" i="11" a="1"/>
  <c r="F193" i="11" a="1"/>
  <c r="D198" i="11" a="1"/>
  <c r="E193" i="11" a="1"/>
  <c r="C193" i="11" a="1"/>
  <c r="B200" i="11" a="1"/>
  <c r="D191" i="11" a="1"/>
  <c r="F190" i="11" a="1"/>
  <c r="C197" i="11" a="1"/>
  <c r="F199" i="11" a="1"/>
  <c r="E198" i="11" a="1"/>
  <c r="D199" i="11" a="1"/>
  <c r="B190" i="11" a="1"/>
  <c r="C198" i="11" a="1"/>
  <c r="B198" i="11" a="1"/>
  <c r="C199" i="11" a="1"/>
  <c r="B193" i="11" a="1"/>
  <c r="B192" i="11" a="1"/>
  <c r="B191" i="11" a="1"/>
  <c r="E191" i="11" a="1"/>
  <c r="B197" i="11" a="1"/>
  <c r="F191" i="11" a="1"/>
  <c r="D190" i="11" a="1"/>
  <c r="C191" i="11" a="1"/>
  <c r="E199" i="11" a="1"/>
  <c r="D200" i="11" a="1"/>
  <c r="C201" i="11" a="1"/>
  <c r="F197" i="11" a="1"/>
  <c r="D189" i="11" a="1"/>
  <c r="E190" i="11" a="1"/>
  <c r="D201" i="11" a="1"/>
  <c r="B201" i="11" a="1"/>
  <c r="F192" i="11" a="1"/>
  <c r="F189" i="11" a="1"/>
  <c r="C192" i="11" a="1"/>
  <c r="C200" i="11" a="1"/>
  <c r="E201" i="11" a="1"/>
  <c r="C190" i="11" a="1"/>
  <c r="E197" i="11" a="1"/>
  <c r="F198" i="11" a="1"/>
  <c r="D197" i="11" a="1"/>
  <c r="B189" i="11" a="1"/>
  <c r="C189" i="11" a="1"/>
  <c r="F201" i="11" a="1"/>
  <c r="D193" i="11" a="1"/>
  <c r="B199" i="11" a="1"/>
  <c r="E200" i="11" a="1"/>
  <c r="F200" i="11" a="1"/>
  <c r="D192" i="11" a="1"/>
  <c r="E192" i="11" a="1"/>
  <c r="F193" i="3" a="1"/>
  <c r="F43" i="2" s="1"/>
  <c r="F199" i="3" a="1"/>
  <c r="F49" i="2" s="1"/>
  <c r="D199" i="3" a="1"/>
  <c r="D49" i="2" s="1"/>
  <c r="D190" i="3" a="1"/>
  <c r="D40" i="2" s="1"/>
  <c r="F198" i="3" a="1"/>
  <c r="F48" i="2" s="1"/>
  <c r="C190" i="3" a="1"/>
  <c r="C40" i="2" s="1"/>
  <c r="E197" i="3" a="1"/>
  <c r="E47" i="2" s="1"/>
  <c r="F197" i="3" a="1"/>
  <c r="F47" i="2" s="1"/>
  <c r="B201" i="3" a="1"/>
  <c r="B51" i="2" s="1"/>
  <c r="B190" i="3" a="1"/>
  <c r="B40" i="2" s="1"/>
  <c r="C198" i="3" a="1"/>
  <c r="C48" i="2" s="1"/>
  <c r="D197" i="3" a="1"/>
  <c r="D47" i="2" s="1"/>
  <c r="B191" i="3" a="1"/>
  <c r="B41" i="2" s="1"/>
  <c r="D191" i="3" a="1"/>
  <c r="D41" i="2" s="1"/>
  <c r="B199" i="3" a="1"/>
  <c r="B49" i="2" s="1"/>
  <c r="B193" i="3" a="1"/>
  <c r="B43" i="2" s="1"/>
  <c r="C199" i="3" a="1"/>
  <c r="C49" i="2" s="1"/>
  <c r="F200" i="3" a="1"/>
  <c r="F50" i="2" s="1"/>
  <c r="C201" i="3" a="1"/>
  <c r="C51" i="2" s="1"/>
  <c r="B189" i="3" a="1"/>
  <c r="B39" i="2" s="1"/>
  <c r="B192" i="3" a="1"/>
  <c r="B42" i="2" s="1"/>
  <c r="E191" i="3" a="1"/>
  <c r="E41" i="2" s="1"/>
  <c r="C191" i="3" a="1"/>
  <c r="C41" i="2" s="1"/>
  <c r="F192" i="3" a="1"/>
  <c r="F42" i="2" s="1"/>
  <c r="C197" i="3" a="1"/>
  <c r="C47" i="2" s="1"/>
  <c r="F190" i="3" a="1"/>
  <c r="F40" i="2" s="1"/>
  <c r="C192" i="3" a="1"/>
  <c r="C42" i="2" s="1"/>
  <c r="F189" i="3" a="1"/>
  <c r="F39" i="2" s="1"/>
  <c r="B198" i="3" a="1"/>
  <c r="B48" i="2" s="1"/>
  <c r="E193" i="3" a="1"/>
  <c r="E43" i="2" s="1"/>
  <c r="E198" i="3" a="1"/>
  <c r="E48" i="2" s="1"/>
  <c r="E201" i="3" a="1"/>
  <c r="E51" i="2" s="1"/>
  <c r="E190" i="3" a="1"/>
  <c r="E40" i="2" s="1"/>
  <c r="E200" i="3" a="1"/>
  <c r="E50" i="2" s="1"/>
  <c r="F201" i="3" a="1"/>
  <c r="F51" i="2" s="1"/>
  <c r="D200" i="3" a="1"/>
  <c r="D50" i="2" s="1"/>
  <c r="F191" i="3" a="1"/>
  <c r="F41" i="2" s="1"/>
  <c r="D193" i="3" a="1"/>
  <c r="D43" i="2" s="1"/>
  <c r="D198" i="3" a="1"/>
  <c r="D48" i="2" s="1"/>
  <c r="E192" i="3" a="1"/>
  <c r="E42" i="2" s="1"/>
  <c r="B200" i="3" a="1"/>
  <c r="B50" i="2" s="1"/>
  <c r="C200" i="3" a="1"/>
  <c r="C50" i="2" s="1"/>
  <c r="C193" i="3" a="1"/>
  <c r="C43" i="2" s="1"/>
  <c r="E199" i="3" a="1"/>
  <c r="E49" i="2" s="1"/>
  <c r="E189" i="3" a="1"/>
  <c r="E39" i="2" s="1"/>
  <c r="C189" i="3" a="1"/>
  <c r="C39" i="2" s="1"/>
  <c r="B197" i="3" a="1"/>
  <c r="B47" i="2" s="1"/>
  <c r="S150" i="12"/>
  <c r="B155" i="12" s="1"/>
  <c r="B159" i="12"/>
  <c r="B168" i="12"/>
  <c r="S150" i="11"/>
  <c r="B155" i="11" s="1"/>
  <c r="B168" i="11"/>
  <c r="B159" i="11"/>
  <c r="B168" i="3"/>
  <c r="S150" i="3"/>
  <c r="B155" i="3" s="1"/>
  <c r="B28" i="2" s="1"/>
  <c r="S65" i="13" l="1"/>
  <c r="H64" i="2"/>
  <c r="D201" i="3" a="1"/>
  <c r="D51" i="2" s="1"/>
  <c r="D189" i="3" a="1"/>
  <c r="D39" i="2" s="1"/>
  <c r="D192" i="3" a="1"/>
  <c r="D42" i="2" s="1"/>
  <c r="B176" i="12"/>
  <c r="C155" i="12"/>
  <c r="C160" i="12" s="1"/>
  <c r="C163" i="12" s="1"/>
  <c r="D155" i="12"/>
  <c r="B160" i="12"/>
  <c r="D159" i="12"/>
  <c r="B176" i="11"/>
  <c r="C155" i="11"/>
  <c r="C160" i="11" s="1"/>
  <c r="C163" i="11" s="1"/>
  <c r="B160" i="11"/>
  <c r="D155" i="11"/>
  <c r="D159" i="11"/>
  <c r="D159" i="3"/>
  <c r="D29" i="2" s="1"/>
  <c r="B176" i="3"/>
  <c r="C155" i="3"/>
  <c r="D155" i="3"/>
  <c r="D28" i="2" s="1"/>
  <c r="B160" i="3"/>
  <c r="B163" i="3" s="1"/>
  <c r="B163" i="12" l="1"/>
  <c r="B161" i="12"/>
  <c r="B170" i="12" s="1"/>
  <c r="B163" i="11"/>
  <c r="B161" i="11"/>
  <c r="B170" i="11" s="1"/>
  <c r="C160" i="3"/>
  <c r="C28" i="2"/>
  <c r="B161" i="3"/>
  <c r="B30" i="2"/>
  <c r="B180" i="12"/>
  <c r="B177" i="12"/>
  <c r="C161" i="12"/>
  <c r="C170" i="12" s="1"/>
  <c r="C165" i="12"/>
  <c r="D160" i="12"/>
  <c r="B165" i="12"/>
  <c r="B180" i="11"/>
  <c r="B177" i="11"/>
  <c r="C161" i="11"/>
  <c r="C170" i="11" s="1"/>
  <c r="C165" i="11"/>
  <c r="D160" i="11"/>
  <c r="B165" i="11"/>
  <c r="B180" i="3"/>
  <c r="B177" i="3"/>
  <c r="B178" i="3" s="1"/>
  <c r="B22" i="2" s="1"/>
  <c r="C161" i="3" l="1"/>
  <c r="D160" i="3"/>
  <c r="B33" i="2"/>
  <c r="B165" i="3"/>
  <c r="C30" i="2"/>
  <c r="C163" i="3"/>
  <c r="B31" i="2"/>
  <c r="B170" i="3"/>
  <c r="C167" i="12"/>
  <c r="C11" i="2"/>
  <c r="D15" i="1" s="1"/>
  <c r="D163" i="12"/>
  <c r="D165" i="12" s="1"/>
  <c r="D18" i="1"/>
  <c r="B167" i="12"/>
  <c r="B11" i="2"/>
  <c r="D14" i="1" s="1"/>
  <c r="C167" i="11"/>
  <c r="C9" i="2"/>
  <c r="D163" i="11"/>
  <c r="D165" i="11" s="1"/>
  <c r="B18" i="1"/>
  <c r="B167" i="11"/>
  <c r="B9" i="2"/>
  <c r="B178" i="12"/>
  <c r="B179" i="12"/>
  <c r="D161" i="12"/>
  <c r="B178" i="11"/>
  <c r="B179" i="11"/>
  <c r="D161" i="11"/>
  <c r="B179" i="3"/>
  <c r="B23" i="2" s="1"/>
  <c r="D161" i="3" l="1"/>
  <c r="D31" i="2" s="1"/>
  <c r="D163" i="3"/>
  <c r="D33" i="2" s="1"/>
  <c r="C18" i="1"/>
  <c r="D30" i="2"/>
  <c r="B167" i="3"/>
  <c r="B10" i="2"/>
  <c r="C14" i="1" s="1"/>
  <c r="B35" i="2"/>
  <c r="C170" i="3"/>
  <c r="C31" i="2"/>
  <c r="E18" i="1"/>
  <c r="D165" i="3"/>
  <c r="C165" i="3"/>
  <c r="C33" i="2"/>
  <c r="B15" i="1"/>
  <c r="B12" i="2"/>
  <c r="E14" i="1" s="1"/>
  <c r="B14" i="1"/>
  <c r="D167" i="12"/>
  <c r="D11" i="2"/>
  <c r="V81" i="15" s="1"/>
  <c r="D167" i="11"/>
  <c r="D9" i="2"/>
  <c r="V79" i="15" s="1"/>
  <c r="D35" i="2" l="1"/>
  <c r="D167" i="3"/>
  <c r="D10" i="2"/>
  <c r="C35" i="2"/>
  <c r="C10" i="2"/>
  <c r="C167" i="3"/>
  <c r="D13" i="1"/>
  <c r="E11" i="2"/>
  <c r="D16" i="1" s="1"/>
  <c r="E9" i="2"/>
  <c r="B16" i="1" s="1"/>
  <c r="B13" i="1"/>
  <c r="E10" i="2" l="1"/>
  <c r="C16" i="1" s="1"/>
  <c r="C13" i="1"/>
  <c r="V80" i="15"/>
  <c r="D12" i="2"/>
  <c r="C12" i="2"/>
  <c r="E15" i="1" s="1"/>
  <c r="C15" i="1"/>
  <c r="E12" i="2" l="1"/>
  <c r="E16" i="1" s="1"/>
  <c r="B18" i="2"/>
  <c r="B19" i="2" s="1"/>
  <c r="B21" i="2" s="1"/>
  <c r="B20" i="1" s="1"/>
  <c r="V82" i="15"/>
  <c r="E13" i="1"/>
  <c r="A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Rifat Tahmid</author>
  </authors>
  <commentList>
    <comment ref="B5" authorId="0" shapeId="0" xr:uid="{7C723CF9-3C95-4795-81B7-CF523779208B}">
      <text>
        <r>
          <rPr>
            <b/>
            <sz val="9"/>
            <color indexed="81"/>
            <rFont val="Tahoma"/>
            <charset val="1"/>
          </rPr>
          <t>Rifat Tahmid:</t>
        </r>
        <r>
          <rPr>
            <sz val="9"/>
            <color indexed="81"/>
            <rFont val="Tahoma"/>
            <charset val="1"/>
          </rPr>
          <t xml:space="preserve">
Source: Anthropic, PBC Form S-1 (filed 26-Oct-2026), Certain Relationships – Series H-1 at $589.0095/share, https://www.sec.gov/Archives/edgar/data/2130357/000162828026067168/anthropicpbc-sx1.htm. Replace with IPO price once set.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Rifat Tahmid</author>
  </authors>
  <commentList>
    <comment ref="E148" authorId="0" shapeId="0" xr:uid="{34C3E5E9-6E58-4406-8489-CDFAE01CB56D}">
      <text>
        <r>
          <rPr>
            <b/>
            <sz val="9"/>
            <color indexed="81"/>
            <rFont val="Tahoma"/>
            <charset val="1"/>
          </rPr>
          <t>Rifat Tahmid:</t>
        </r>
        <r>
          <rPr>
            <sz val="9"/>
            <color indexed="81"/>
            <rFont val="Tahoma"/>
            <charset val="1"/>
          </rPr>
          <t xml:space="preserve">
FY2026E stub = full-year model UFCF − YTD actual unlevered FCF proxy (row 52). Replaces the earlier time-weighted split, because ~69% of FY26 revenue and most owned-capacity capex fall in 2H.</t>
        </r>
      </text>
    </comment>
    <comment ref="B157" authorId="0" shapeId="0" xr:uid="{94861904-2EB8-416E-957C-5D07D171C93A}">
      <text>
        <r>
          <rPr>
            <b/>
            <sz val="9"/>
            <color indexed="81"/>
            <rFont val="Tahoma"/>
            <charset val="1"/>
          </rPr>
          <t>Rifat Tahmid:</t>
        </r>
        <r>
          <rPr>
            <sz val="9"/>
            <color indexed="81"/>
            <rFont val="Tahoma"/>
            <charset val="1"/>
          </rPr>
          <t xml:space="preserve">
Methodology: the Gordon Growth TV is capitalised at the mature-stage (terminal-period) WACC because the business is assumed mature after FY2040E, then discounted to today at the explicit-period WACC (the risk of getting there). Deliberate; the GG-implied exit multiple (row 168) is the cross-check against the exit-multiple input.</t>
        </r>
      </text>
    </comment>
    <comment ref="B163" authorId="0" shapeId="0" xr:uid="{1BF99101-3145-40E9-AD21-F66FA5F83B6D}">
      <text>
        <r>
          <rPr>
            <b/>
            <sz val="9"/>
            <color indexed="81"/>
            <rFont val="Tahoma"/>
            <charset val="1"/>
          </rPr>
          <t>Rifat Tahmid:</t>
        </r>
        <r>
          <rPr>
            <sz val="9"/>
            <color indexed="81"/>
            <rFont val="Tahoma"/>
            <charset val="1"/>
          </rPr>
          <t xml:space="preserve">
Valuation struck at the latest balance-sheet date (Actuals!B8) and compounded to the purchase date (Actuals!B11) at the cost of equity (Actuals!B15), so it is comparable with today's price.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Rifat Tahmid</author>
  </authors>
  <commentList>
    <comment ref="E148" authorId="0" shapeId="0" xr:uid="{B6330720-AF4F-485C-A878-8B5A7541AAD8}">
      <text>
        <r>
          <rPr>
            <b/>
            <sz val="9"/>
            <color indexed="81"/>
            <rFont val="Tahoma"/>
            <charset val="1"/>
          </rPr>
          <t>Rifat Tahmid:</t>
        </r>
        <r>
          <rPr>
            <sz val="9"/>
            <color indexed="81"/>
            <rFont val="Tahoma"/>
            <charset val="1"/>
          </rPr>
          <t xml:space="preserve">
FY2026E stub = full-year model UFCF − YTD actual unlevered FCF proxy (row 52). Replaces the earlier time-weighted split, because ~69% of FY26 revenue and most owned-capacity capex fall in 2H.</t>
        </r>
      </text>
    </comment>
    <comment ref="B157" authorId="0" shapeId="0" xr:uid="{C34E3BAF-2BCE-4740-A086-3A8AB4831EE6}">
      <text>
        <r>
          <rPr>
            <b/>
            <sz val="9"/>
            <color indexed="81"/>
            <rFont val="Tahoma"/>
            <charset val="1"/>
          </rPr>
          <t>Rifat Tahmid:</t>
        </r>
        <r>
          <rPr>
            <sz val="9"/>
            <color indexed="81"/>
            <rFont val="Tahoma"/>
            <charset val="1"/>
          </rPr>
          <t xml:space="preserve">
Methodology: the Gordon Growth TV is capitalised at the mature-stage (terminal-period) WACC because the business is assumed mature after FY2040E, then discounted to today at the explicit-period WACC (the risk of getting there). Deliberate; the GG-implied exit multiple (row 168) is the cross-check against the exit-multiple input.</t>
        </r>
      </text>
    </comment>
    <comment ref="B163" authorId="0" shapeId="0" xr:uid="{46016F9C-05F8-450A-9E5B-2FA1A96E0484}">
      <text>
        <r>
          <rPr>
            <b/>
            <sz val="9"/>
            <color indexed="81"/>
            <rFont val="Tahoma"/>
            <charset val="1"/>
          </rPr>
          <t>Rifat Tahmid:</t>
        </r>
        <r>
          <rPr>
            <sz val="9"/>
            <color indexed="81"/>
            <rFont val="Tahoma"/>
            <charset val="1"/>
          </rPr>
          <t xml:space="preserve">
Valuation struck at the latest balance-sheet date (Actuals!B8) and compounded to the purchase date (Actuals!B11) at the cost of equity (Actuals!B15), so it is comparable with today's price.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Rifat Tahmid</author>
  </authors>
  <commentList>
    <comment ref="E148" authorId="0" shapeId="0" xr:uid="{89F90F2F-E9D5-4F1A-A0F6-34FFC4FF5BB6}">
      <text>
        <r>
          <rPr>
            <b/>
            <sz val="9"/>
            <color indexed="81"/>
            <rFont val="Tahoma"/>
            <charset val="1"/>
          </rPr>
          <t>Rifat Tahmid:</t>
        </r>
        <r>
          <rPr>
            <sz val="9"/>
            <color indexed="81"/>
            <rFont val="Tahoma"/>
            <charset val="1"/>
          </rPr>
          <t xml:space="preserve">
FY2026E stub = full-year model UFCF − YTD actual unlevered FCF proxy (row 52). Replaces the earlier time-weighted split, because ~69% of FY26 revenue and most owned-capacity capex fall in 2H.</t>
        </r>
      </text>
    </comment>
    <comment ref="B157" authorId="0" shapeId="0" xr:uid="{9EC2860D-8AA0-46EE-AE04-A119DA7E9CA8}">
      <text>
        <r>
          <rPr>
            <b/>
            <sz val="9"/>
            <color indexed="81"/>
            <rFont val="Tahoma"/>
            <charset val="1"/>
          </rPr>
          <t>Rifat Tahmid:</t>
        </r>
        <r>
          <rPr>
            <sz val="9"/>
            <color indexed="81"/>
            <rFont val="Tahoma"/>
            <charset val="1"/>
          </rPr>
          <t xml:space="preserve">
Methodology: the Gordon Growth TV is capitalised at the mature-stage (terminal-period) WACC because the business is assumed mature after FY2040E, then discounted to today at the explicit-period WACC (the risk of getting there). Deliberate; the GG-implied exit multiple (row 168) is the cross-check against the exit-multiple input.</t>
        </r>
      </text>
    </comment>
    <comment ref="B163" authorId="0" shapeId="0" xr:uid="{E6E8A249-76F0-4249-B7E2-23F15F630057}">
      <text>
        <r>
          <rPr>
            <b/>
            <sz val="9"/>
            <color indexed="81"/>
            <rFont val="Tahoma"/>
            <charset val="1"/>
          </rPr>
          <t>Rifat Tahmid:</t>
        </r>
        <r>
          <rPr>
            <sz val="9"/>
            <color indexed="81"/>
            <rFont val="Tahoma"/>
            <charset val="1"/>
          </rPr>
          <t xml:space="preserve">
Valuation struck at the latest balance-sheet date (Actuals!B8) and compounded to the purchase date (Actuals!B11) at the cost of equity (Actuals!B15), so it is comparable with today's price.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Rifat Tahmid</author>
  </authors>
  <commentList>
    <comment ref="E23" authorId="0" shapeId="0" xr:uid="{8B7E28AF-9EF2-4A82-8970-1EAB7330C247}">
      <text>
        <r>
          <rPr>
            <b/>
            <sz val="9"/>
            <color indexed="81"/>
            <rFont val="Tahoma"/>
            <charset val="1"/>
          </rPr>
          <t>Rifat Tahmid:</t>
        </r>
        <r>
          <rPr>
            <sz val="9"/>
            <color indexed="81"/>
            <rFont val="Tahoma"/>
            <charset val="1"/>
          </rPr>
          <t xml:space="preserve">
Bear Q3'26 growth pinned to the S-1-implied floor (Actuals!B13): ~5,300 employees × &gt;$6.6M TTM revenue per employee − Q4'25 to Q2'26 revenue. Downside is expressed from Q4 onwards.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Rifat Tahmid</author>
  </authors>
  <commentList>
    <comment ref="B7" authorId="0" shapeId="0" xr:uid="{D851A4C3-01BB-42E8-B3D0-AEA586052566}">
      <text>
        <r>
          <rPr>
            <b/>
            <sz val="9"/>
            <color indexed="81"/>
            <rFont val="Tahoma"/>
            <charset val="1"/>
          </rPr>
          <t>Rifat Tahmid:</t>
        </r>
        <r>
          <rPr>
            <sz val="9"/>
            <color indexed="81"/>
            <rFont val="Tahoma"/>
            <charset val="1"/>
          </rPr>
          <t xml:space="preserve">
Source: U.S. Treasury daily par yield curve, 10-year = 5.00% on 23-Oct-2026 (as reported at https://spotthemoney.com/rates/treasury-yields/ and https://www.forbes.com/advisor/investing/treasury-rates/)</t>
        </r>
      </text>
    </comment>
    <comment ref="B37" authorId="0" shapeId="0" xr:uid="{0CB6DD5E-74B5-414D-A099-36B9EA0B27D3}">
      <text>
        <r>
          <rPr>
            <b/>
            <sz val="9"/>
            <color indexed="81"/>
            <rFont val="Tahoma"/>
            <charset val="1"/>
          </rPr>
          <t>Rifat Tahmid:</t>
        </r>
        <r>
          <rPr>
            <sz val="9"/>
            <color indexed="81"/>
            <rFont val="Tahoma"/>
            <charset val="1"/>
          </rPr>
          <t xml:space="preserve">
Placeholder – the S-1 leaves the Preferred Stock Conversion ratio blank. Update from the final prospectus.</t>
        </r>
      </text>
    </comment>
    <comment ref="B40" authorId="0" shapeId="0" xr:uid="{B4F1C980-27D3-431D-9EBE-46021753DBC2}">
      <text>
        <r>
          <rPr>
            <b/>
            <sz val="9"/>
            <color indexed="81"/>
            <rFont val="Tahoma"/>
            <charset val="1"/>
          </rPr>
          <t>Rifat Tahmid:</t>
        </r>
        <r>
          <rPr>
            <sz val="9"/>
            <color indexed="81"/>
            <rFont val="Tahoma"/>
            <charset val="1"/>
          </rPr>
          <t xml:space="preserve">
S-1: only the principal that keeps Amazon under its ownership cap converts at the IPO (Convertible Notes Conversion). Set the converting %; the remainder is deducted as debt-like at fair value in B56.</t>
        </r>
      </text>
    </comment>
    <comment ref="B46" authorId="0" shapeId="0" xr:uid="{B0FC5216-AE56-46D1-AB99-93DC578BED7C}">
      <text>
        <r>
          <rPr>
            <b/>
            <sz val="9"/>
            <color indexed="81"/>
            <rFont val="Tahoma"/>
            <charset val="1"/>
          </rPr>
          <t>Rifat Tahmid:</t>
        </r>
        <r>
          <rPr>
            <sz val="9"/>
            <color indexed="81"/>
            <rFont val="Tahoma"/>
            <charset val="1"/>
          </rPr>
          <t xml:space="preserve">
Placeholder – options, RSU Settlement net shares and Initial Public Benefit Issuance are blank in the S-1. Update from the final prospectus.</t>
        </r>
      </text>
    </comment>
    <comment ref="B48" authorId="0" shapeId="0" xr:uid="{0F51C788-66F1-4C63-BCDD-12A59936F2EF}">
      <text>
        <r>
          <rPr>
            <b/>
            <sz val="9"/>
            <color indexed="81"/>
            <rFont val="Tahoma"/>
            <charset val="1"/>
          </rPr>
          <t>Rifat Tahmid:</t>
        </r>
        <r>
          <rPr>
            <sz val="9"/>
            <color indexed="81"/>
            <rFont val="Tahoma"/>
            <charset val="1"/>
          </rPr>
          <t xml:space="preserve">
Placeholder – the primary IPO size is blank in the S-1. Update from the final prospectus / pricing release.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Rifat Tahmid</author>
  </authors>
  <commentList>
    <comment ref="C7" authorId="0" shapeId="0" xr:uid="{E10F2A72-3335-4EA2-9EC0-514B8A0BD595}">
      <text>
        <r>
          <rPr>
            <b/>
            <sz val="9"/>
            <color indexed="81"/>
            <rFont val="Tahoma"/>
            <charset val="1"/>
          </rPr>
          <t>Rifat Tahmid:</t>
        </r>
        <r>
          <rPr>
            <sz val="9"/>
            <color indexed="81"/>
            <rFont val="Tahoma"/>
            <charset val="1"/>
          </rPr>
          <t xml:space="preserve">
Source: Anthropic S-1 (filed 26-Oct-2026), Note 7 Leases – maturities of operating lease liabilities as of 30-Jun-2026 (unaudited): 2026 $52, 2027 $109, 2028 $194, 2029 $162, 2030 $173, thereafter $911; total undiscounted $1,601M. https://www.sec.gov/Archives/edgar/data/2130357/000162828026067168/anthropicpbc-sx1.htm</t>
        </r>
      </text>
    </comment>
    <comment ref="C8" authorId="0" shapeId="0" xr:uid="{59C2106C-DD5B-4806-A15A-03181050C9D9}">
      <text>
        <r>
          <rPr>
            <b/>
            <sz val="9"/>
            <color indexed="81"/>
            <rFont val="Tahoma"/>
            <charset val="1"/>
          </rPr>
          <t>Rifat Tahmid:</t>
        </r>
        <r>
          <rPr>
            <sz val="9"/>
            <color indexed="81"/>
            <rFont val="Tahoma"/>
            <charset val="1"/>
          </rPr>
          <t xml:space="preserve">
Source: Anthropic S-1, Note 7 Leases – finance lease maturities as of 30-Jun-2026: 62/106/106/106/106/37; total undiscounted $523M. Same URL.</t>
        </r>
      </text>
    </comment>
    <comment ref="C9" authorId="0" shapeId="0" xr:uid="{FBA8902B-FF97-4F36-84A4-9537C6A45CDF}">
      <text>
        <r>
          <rPr>
            <b/>
            <sz val="9"/>
            <color indexed="81"/>
            <rFont val="Tahoma"/>
            <charset val="1"/>
          </rPr>
          <t>Rifat Tahmid:</t>
        </r>
        <r>
          <rPr>
            <sz val="9"/>
            <color indexed="81"/>
            <rFont val="Tahoma"/>
            <charset val="1"/>
          </rPr>
          <t xml:space="preserve">
Source: Anthropic S-1, Note 13 Commitments – non-cancelable purchase commitments (&gt;1yr term) as of 31-Dec-2025: 2026 $7,059 / 2027 $11,128 / 2028 $10,832 / 2029 $8,304 / 2030 $5,428 / thereafter $11,808; total $54,559M. Same URL.</t>
        </r>
      </text>
    </comment>
    <comment ref="B13" authorId="0" shapeId="0" xr:uid="{2A7C1146-557F-4641-9951-FC154D0BD1F1}">
      <text>
        <r>
          <rPr>
            <b/>
            <sz val="9"/>
            <color indexed="81"/>
            <rFont val="Tahoma"/>
            <charset val="1"/>
          </rPr>
          <t>Rifat Tahmid:</t>
        </r>
        <r>
          <rPr>
            <sz val="9"/>
            <color indexed="81"/>
            <rFont val="Tahoma"/>
            <charset val="1"/>
          </rPr>
          <t xml:space="preserve">
Source: Anthropic S-1, Note 13 'Guaranty' – maximum potential payments up to $0.8B as of 30-Jun-2026. Same URL.</t>
        </r>
      </text>
    </comment>
    <comment ref="B14" authorId="0" shapeId="0" xr:uid="{37019DC8-0721-4DBF-BA9D-5F9FB920599E}">
      <text>
        <r>
          <rPr>
            <b/>
            <sz val="9"/>
            <color indexed="81"/>
            <rFont val="Tahoma"/>
            <charset val="1"/>
          </rPr>
          <t>Rifat Tahmid:</t>
        </r>
        <r>
          <rPr>
            <sz val="9"/>
            <color indexed="81"/>
            <rFont val="Tahoma"/>
            <charset val="1"/>
          </rPr>
          <t xml:space="preserve">
Source: Anthropic S-1, Note 7 'Leases Not Yet Commenced' – ~$321.4B undiscounted as of 30-Jun-2026 (vs $50.2B at 31-Dec-2025); commence 2026–2028, terms &lt;1 to 20 years; may be partly settled in convertible notes. Same URL.</t>
        </r>
      </text>
    </comment>
    <comment ref="B15" authorId="0" shapeId="0" xr:uid="{91824F7A-05A3-493F-B4E9-72E3EB72A9E1}">
      <text>
        <r>
          <rPr>
            <b/>
            <sz val="9"/>
            <color indexed="81"/>
            <rFont val="Tahoma"/>
            <charset val="1"/>
          </rPr>
          <t>Rifat Tahmid:</t>
        </r>
        <r>
          <rPr>
            <sz val="9"/>
            <color indexed="81"/>
            <rFont val="Tahoma"/>
            <charset val="1"/>
          </rPr>
          <t xml:space="preserve">
Source: Anthropic S-1 (filed 26-Oct-2026), Note 13 – expected future fixed or minimum guaranteed commitments ~$265.6B as of 30-Jun-2026, terms 1–20 years. https://www.sec.gov/Archives/edgar/data/2130357/000162828026067168/anthropicpbc-sx1.htm</t>
        </r>
      </text>
    </comment>
    <comment ref="B16" authorId="0" shapeId="0" xr:uid="{D5FDC6E4-70EE-4BB1-BCD3-45538EC7B8EF}">
      <text>
        <r>
          <rPr>
            <b/>
            <sz val="9"/>
            <color indexed="81"/>
            <rFont val="Tahoma"/>
            <charset val="1"/>
          </rPr>
          <t>Rifat Tahmid:</t>
        </r>
        <r>
          <rPr>
            <sz val="9"/>
            <color indexed="81"/>
            <rFont val="Tahoma"/>
            <charset val="1"/>
          </rPr>
          <t xml:space="preserve">
Source: Anthropic S-1, Note 13 – expected fixed/minimum commitments ~$265.6B as of 30-Jun-2026 (1–20 year terms), less the $54.6B dated 31-Dec-2025 schedule in row 9. Year split not disclosed.</t>
        </r>
      </text>
    </comment>
    <comment ref="B17" authorId="0" shapeId="0" xr:uid="{45D49736-DB88-4BA5-BF77-4641B5421349}">
      <text>
        <r>
          <rPr>
            <b/>
            <sz val="9"/>
            <color indexed="81"/>
            <rFont val="Tahoma"/>
            <charset val="1"/>
          </rPr>
          <t>Rifat Tahmid:</t>
        </r>
        <r>
          <rPr>
            <sz val="9"/>
            <color indexed="81"/>
            <rFont val="Tahoma"/>
            <charset val="1"/>
          </rPr>
          <t xml:space="preserve">
Source: Anthropic S-1 (filed 26-Oct-2026), MD&amp;A – Infrastructure Service Arrangements: additional TPU compute from TPU providers incl. Google, delivered 2028–2031, est. ~$125.0B–$150.0B (not in commitments table); AMD Helios Hardware Supply Agreement – initial 2027 tranche, expected to exceed $20.0B. Low = $125.0B + $20.0B. SpaceXAI arrangements (up to $120.5B, cancellable on 90 days' notice after early-2027) not added – may overlap the $265.6B fixed commitments. https://www.sec.gov/Archives/edgar/data/2130357/000162828026067168/anthropicpbc-sx1.htm</t>
        </r>
      </text>
    </comment>
    <comment ref="B18" authorId="0" shapeId="0" xr:uid="{FEF333EA-B005-4204-97AD-1D5008ED53BE}">
      <text>
        <r>
          <rPr>
            <b/>
            <sz val="9"/>
            <color indexed="81"/>
            <rFont val="Tahoma"/>
            <charset val="1"/>
          </rPr>
          <t>Rifat Tahmid:</t>
        </r>
        <r>
          <rPr>
            <sz val="9"/>
            <color indexed="81"/>
            <rFont val="Tahoma"/>
            <charset val="1"/>
          </rPr>
          <t xml:space="preserve">
Source: Anthropic S-1, MD&amp;A – Infrastructure Service Arrangements: TPU high $150.0B + AMD initial tranche $20.0B + optional AMD additional capacity 'up to approximately the amount of our initial commitment' (~$20.0B). High = $190.0B. Same URL.</t>
        </r>
      </text>
    </comment>
    <comment ref="B24" authorId="0" shapeId="0" xr:uid="{4EF48F6C-0CC2-44A3-8316-5F18A6925259}">
      <text>
        <r>
          <rPr>
            <b/>
            <sz val="9"/>
            <color indexed="81"/>
            <rFont val="Tahoma"/>
            <charset val="1"/>
          </rPr>
          <t>Rifat Tahmid:</t>
        </r>
        <r>
          <rPr>
            <sz val="9"/>
            <color indexed="81"/>
            <rFont val="Tahoma"/>
            <charset val="1"/>
          </rPr>
          <t xml:space="preserve">
Source: Anthropic, PBC Form S-1 filed 26-Oct-2026, https://www.sec.gov/Archives/edgar/data/2130357/000162828026067168/anthropicpbc-sx1.htm – Convertible Notes: Infrastructure Partner 2026 NPA, original principal available $42.0B.</t>
        </r>
      </text>
    </comment>
    <comment ref="C24" authorId="0" shapeId="0" xr:uid="{DACFE90E-B5AB-4072-8302-98522708B91B}">
      <text>
        <r>
          <rPr>
            <b/>
            <sz val="9"/>
            <color indexed="81"/>
            <rFont val="Tahoma"/>
            <charset val="1"/>
          </rPr>
          <t>Rifat Tahmid:</t>
        </r>
        <r>
          <rPr>
            <sz val="9"/>
            <color indexed="81"/>
            <rFont val="Tahoma"/>
            <charset val="1"/>
          </rPr>
          <t xml:space="preserve">
Source: Anthropic, PBC Form S-1 filed 26-Oct-2026, https://www.sec.gov/Archives/edgar/data/2130357/000162828026067168/anthropicpbc-sx1.htm – principal outstanding as of 30-Jun-2026: $—.</t>
        </r>
      </text>
    </comment>
    <comment ref="D24" authorId="0" shapeId="0" xr:uid="{85F02042-C76C-4860-9A04-D005ABE43CDA}">
      <text>
        <r>
          <rPr>
            <b/>
            <sz val="9"/>
            <color indexed="81"/>
            <rFont val="Tahoma"/>
            <charset val="1"/>
          </rPr>
          <t>Rifat Tahmid:</t>
        </r>
        <r>
          <rPr>
            <sz val="9"/>
            <color indexed="81"/>
            <rFont val="Tahoma"/>
            <charset val="1"/>
          </rPr>
          <t xml:space="preserve">
Source: Anthropic, PBC Form S-1 filed 26-Oct-2026, https://www.sec.gov/Archives/edgar/data/2130357/000162828026067168/anthropicpbc-sx1.htm – 9.00% per annum, paid in kind (13.00% if revenue performance conditions not met).</t>
        </r>
      </text>
    </comment>
    <comment ref="B25" authorId="0" shapeId="0" xr:uid="{EC390782-3B51-4641-B613-57F77B08B826}">
      <text>
        <r>
          <rPr>
            <b/>
            <sz val="9"/>
            <color indexed="81"/>
            <rFont val="Tahoma"/>
            <charset val="1"/>
          </rPr>
          <t>Rifat Tahmid:</t>
        </r>
        <r>
          <rPr>
            <sz val="9"/>
            <color indexed="81"/>
            <rFont val="Tahoma"/>
            <charset val="1"/>
          </rPr>
          <t xml:space="preserve">
Source: Anthropic, PBC Form S-1 filed 26-Oct-2026, https://www.sec.gov/Archives/edgar/data/2130357/000162828026067168/anthropicpbc-sx1.htm – Google 2026 NPA, original principal available $20.0B.</t>
        </r>
      </text>
    </comment>
    <comment ref="C25" authorId="0" shapeId="0" xr:uid="{E0E81800-48FE-4284-8746-2478A83FBBC3}">
      <text>
        <r>
          <rPr>
            <b/>
            <sz val="9"/>
            <color indexed="81"/>
            <rFont val="Tahoma"/>
            <charset val="1"/>
          </rPr>
          <t>Rifat Tahmid:</t>
        </r>
        <r>
          <rPr>
            <sz val="9"/>
            <color indexed="81"/>
            <rFont val="Tahoma"/>
            <charset val="1"/>
          </rPr>
          <t xml:space="preserve">
Source: Anthropic, PBC Form S-1 filed 26-Oct-2026, https://www.sec.gov/Archives/edgar/data/2130357/000162828026067168/anthropicpbc-sx1.htm – principal outstanding as of 30-Jun-2026: $—.</t>
        </r>
      </text>
    </comment>
    <comment ref="B26" authorId="0" shapeId="0" xr:uid="{5190FF6C-D3B0-4853-AF99-568A4E6AF47E}">
      <text>
        <r>
          <rPr>
            <b/>
            <sz val="9"/>
            <color indexed="81"/>
            <rFont val="Tahoma"/>
            <charset val="1"/>
          </rPr>
          <t>Rifat Tahmid:</t>
        </r>
        <r>
          <rPr>
            <sz val="9"/>
            <color indexed="81"/>
            <rFont val="Tahoma"/>
            <charset val="1"/>
          </rPr>
          <t xml:space="preserve">
Source: Anthropic, PBC Form S-1 filed 26-Oct-2026, https://www.sec.gov/Archives/edgar/data/2130357/000162828026067168/anthropicpbc-sx1.htm – Risk Factors: total indebtedness $6.2B at 30-Jun-2026 = Amazon Notes principal.</t>
        </r>
      </text>
    </comment>
    <comment ref="C26" authorId="0" shapeId="0" xr:uid="{1C19B7BA-7DEE-42A1-9E98-2168E683F5B4}">
      <text>
        <r>
          <rPr>
            <b/>
            <sz val="9"/>
            <color indexed="81"/>
            <rFont val="Tahoma"/>
            <charset val="1"/>
          </rPr>
          <t>Rifat Tahmid:</t>
        </r>
        <r>
          <rPr>
            <sz val="9"/>
            <color indexed="81"/>
            <rFont val="Tahoma"/>
            <charset val="1"/>
          </rPr>
          <t xml:space="preserve">
Source: Anthropic, PBC Form S-1 filed 26-Oct-2026, https://www.sec.gov/Archives/edgar/data/2130357/000162828026067168/anthropicpbc-sx1.htm – Amazon Notes principal outstanding $6.2B at 30-Jun-2026.</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Rifat Tahmid</author>
  </authors>
  <commentList>
    <comment ref="C8" authorId="0" shapeId="0" xr:uid="{FACE2F30-D1A1-43DE-A414-D10C813F0ED1}">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https://stockanalysis.com/stocks/nvda/statistics/ – market cap</t>
        </r>
      </text>
    </comment>
    <comment ref="D8" authorId="0" shapeId="0" xr:uid="{28A68873-DC2D-4AC2-89AD-42182950963E}">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https://stockanalysis.com/stocks/nvda/statistics/ – net debt = −(net cash)</t>
        </r>
      </text>
    </comment>
    <comment ref="G8" authorId="0" shapeId="0" xr:uid="{A2025FEE-B46E-413B-B6F2-73957411262F}">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https://stockanalysis.com/stocks/nvda/statistics/ – LTM EBITDA</t>
        </r>
      </text>
    </comment>
    <comment ref="L8" authorId="0" shapeId="0" xr:uid="{2DE2DF78-9EB1-43AC-B3EA-4FB5F6741894}">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https://stockanalysis.com/stocks/nvda/statistics/ – Beta (5Y)</t>
        </r>
      </text>
    </comment>
    <comment ref="N8" authorId="0" shapeId="0" xr:uid="{5CED370B-7A6F-49D6-8EBC-FB83AEBD8F85}">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https://stockanalysis.com/stocks/nvda/statistics/ – LTM revenue</t>
        </r>
      </text>
    </comment>
    <comment ref="O8" authorId="0" shapeId="0" xr:uid="{07E56DD0-FBE0-4238-B7C2-97A2E2659ACC}">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https://stockanalysis.com/stocks/nvda/statistics/ – forward P/S (next fiscal year); next-FY revenue = market cap ÷ forward P/S</t>
        </r>
      </text>
    </comment>
    <comment ref="C9" authorId="0" shapeId="0" xr:uid="{23F8B276-A7BF-473D-B5DA-74999981ABA0}">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https://stockanalysis.com/stocks/pltr/statistics/ – market cap</t>
        </r>
      </text>
    </comment>
    <comment ref="D9" authorId="0" shapeId="0" xr:uid="{5ABACA48-F35F-492D-9265-6BF15569E28C}">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https://stockanalysis.com/stocks/pltr/statistics/ – net debt = −(net cash)</t>
        </r>
      </text>
    </comment>
    <comment ref="G9" authorId="0" shapeId="0" xr:uid="{3E27A464-9897-41D9-911A-DD9353E2CDFB}">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https://stockanalysis.com/stocks/pltr/statistics/ – LTM EBITDA</t>
        </r>
      </text>
    </comment>
    <comment ref="L9" authorId="0" shapeId="0" xr:uid="{492C6743-C061-4404-A0A0-DCF4ACE66272}">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https://stockanalysis.com/stocks/pltr/statistics/ – Beta (5Y)</t>
        </r>
      </text>
    </comment>
    <comment ref="N9" authorId="0" shapeId="0" xr:uid="{B9B55CEC-4079-4F3C-86CC-99989F6D6B15}">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https://stockanalysis.com/stocks/pltr/statistics/ – LTM revenue</t>
        </r>
      </text>
    </comment>
    <comment ref="O9" authorId="0" shapeId="0" xr:uid="{FDB15777-D630-418B-B2F8-220D8F2AE781}">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https://stockanalysis.com/stocks/pltr/statistics/ – forward P/S (next fiscal year); next-FY revenue = market cap ÷ forward P/S</t>
        </r>
      </text>
    </comment>
    <comment ref="C10" authorId="0" shapeId="0" xr:uid="{C50A6BE7-111B-46D1-B465-5892623D8353}">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https://stockanalysis.com/stocks/crwv/statistics/ – market cap</t>
        </r>
      </text>
    </comment>
    <comment ref="D10" authorId="0" shapeId="0" xr:uid="{CDEA578D-0AC5-480B-B7B2-E08AF500EB51}">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https://stockanalysis.com/stocks/crwv/statistics/ – net debt = −(net cash)</t>
        </r>
      </text>
    </comment>
    <comment ref="G10" authorId="0" shapeId="0" xr:uid="{05F19F8B-2D5A-4B3A-B317-02B4E5C430A6}">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https://stockanalysis.com/stocks/crwv/statistics/ – LTM EBITDA</t>
        </r>
      </text>
    </comment>
    <comment ref="L10" authorId="0" shapeId="0" xr:uid="{3ED9E1BF-48D2-4B70-BA30-81E33E8CC19F}">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https://stockanalysis.com/stocks/crwv/statistics/ – Beta (5Y) n/a (listed 2025, &lt;5 years of history); excluded from the median</t>
        </r>
      </text>
    </comment>
    <comment ref="N10" authorId="0" shapeId="0" xr:uid="{080B76EA-16E7-437B-8E55-F05F0ADA9FEE}">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https://stockanalysis.com/stocks/crwv/statistics/ – LTM revenue</t>
        </r>
      </text>
    </comment>
    <comment ref="O10" authorId="0" shapeId="0" xr:uid="{25B0165B-9F53-4ABA-BA57-79ED439AFD71}">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https://stockanalysis.com/stocks/crwv/statistics/ – forward P/S (next fiscal year); next-FY revenue = market cap ÷ forward P/S</t>
        </r>
      </text>
    </comment>
    <comment ref="C11" authorId="0" shapeId="0" xr:uid="{B7E058DB-44AF-42B9-8BD7-9B67F603AC59}">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https://stockanalysis.com/stocks/nbis/ – market cap $45.92B</t>
        </r>
      </text>
    </comment>
    <comment ref="D11" authorId="0" shapeId="0" xr:uid="{AA804177-65A9-49A0-AD92-C3E65D5006FD}">
      <text>
        <r>
          <rPr>
            <b/>
            <sz val="9"/>
            <color indexed="81"/>
            <rFont val="Tahoma"/>
            <charset val="1"/>
          </rPr>
          <t>Rifat Tahmid:</t>
        </r>
        <r>
          <rPr>
            <sz val="9"/>
            <color indexed="81"/>
            <rFont val="Tahoma"/>
            <charset val="1"/>
          </rPr>
          <t xml:space="preserve">
Source: stockanalysis.com (unofficial aggregator; S&amp;P Global Market Intelligence data), search snippet ~Aug-2026 (latest available), https://stockanalysis.com/stocks/nbis/statistics/ – net debt = −(net cash)</t>
        </r>
      </text>
    </comment>
    <comment ref="F11" authorId="0" shapeId="0" xr:uid="{AA175A53-9426-43F6-A2D5-98B33245E8B9}">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https://stockanalysis.com/stocks/nbis/forecast/ – consensus revenue FY2027 $12.24B</t>
        </r>
      </text>
    </comment>
    <comment ref="G11" authorId="0" shapeId="0" xr:uid="{FE495C64-DD4A-49BB-9401-E413055BFE1D}">
      <text>
        <r>
          <rPr>
            <b/>
            <sz val="9"/>
            <color indexed="81"/>
            <rFont val="Tahoma"/>
            <charset val="1"/>
          </rPr>
          <t>Rifat Tahmid:</t>
        </r>
        <r>
          <rPr>
            <sz val="9"/>
            <color indexed="81"/>
            <rFont val="Tahoma"/>
            <charset val="1"/>
          </rPr>
          <t xml:space="preserve">
Source: stockanalysis.com (unofficial aggregator; S&amp;P Global Market Intelligence data), search snippet ~Aug-2026, https://stockanalysis.com/stocks/nbis/statistics/ – LTM EBITDA</t>
        </r>
      </text>
    </comment>
    <comment ref="L11" authorId="0" shapeId="0" xr:uid="{648E3DBD-C5AB-4161-B06F-E2F5D20330CD}">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https://stockanalysis.com/stocks/nbis/ – Beta</t>
        </r>
      </text>
    </comment>
    <comment ref="N11" authorId="0" shapeId="0" xr:uid="{8E0B9428-BA53-4E71-BF89-FFF7D7680C07}">
      <text>
        <r>
          <rPr>
            <b/>
            <sz val="9"/>
            <color indexed="81"/>
            <rFont val="Tahoma"/>
            <charset val="1"/>
          </rPr>
          <t>Rifat Tahmid:</t>
        </r>
        <r>
          <rPr>
            <sz val="9"/>
            <color indexed="81"/>
            <rFont val="Tahoma"/>
            <charset val="1"/>
          </rPr>
          <t xml:space="preserve">
Source: stockanalysis.com (unofficial aggregator; S&amp;P Global Market Intelligence data), search snippet ~Aug-2026, https://stockanalysis.com/stocks/nbis/statistics/ – LTM revenue</t>
        </r>
      </text>
    </comment>
    <comment ref="C17" authorId="0" shapeId="0" xr:uid="{191824C5-3900-449E-9517-9ACA6ABDDB97}">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https://stockanalysis.com/stocks/msft/market-cap/ – market cap $3.90T as of 23-Oct-2026</t>
        </r>
      </text>
    </comment>
    <comment ref="D17" authorId="0" shapeId="0" xr:uid="{10BC50FB-8D00-4BC5-A369-E342E40E0C53}">
      <text>
        <r>
          <rPr>
            <b/>
            <sz val="9"/>
            <color indexed="81"/>
            <rFont val="Tahoma"/>
            <charset val="1"/>
          </rPr>
          <t>Rifat Tahmid:</t>
        </r>
        <r>
          <rPr>
            <sz val="9"/>
            <color indexed="81"/>
            <rFont val="Tahoma"/>
            <charset val="1"/>
          </rPr>
          <t xml:space="preserve">
Source: stockanalysis.com (unofficial aggregator; S&amp;P Global Market Intelligence data), search snippet ~mid-2026 (latest available), https://stockanalysis.com/stocks/msft/statistics/ – net debt = −(net cash)</t>
        </r>
      </text>
    </comment>
    <comment ref="F17" authorId="0" shapeId="0" xr:uid="{3EBEB243-C3DA-4884-95FE-165F5C473A97}">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https://stockanalysis.com/stocks/msft/forecast/ – consensus revenue next year (FY2028, Jun-28) $468.55B</t>
        </r>
      </text>
    </comment>
    <comment ref="G17" authorId="0" shapeId="0" xr:uid="{02312D6A-BCCC-4EB9-ADD7-193B7F80CD0F}">
      <text>
        <r>
          <rPr>
            <b/>
            <sz val="9"/>
            <color indexed="81"/>
            <rFont val="Tahoma"/>
            <charset val="1"/>
          </rPr>
          <t>Rifat Tahmid:</t>
        </r>
        <r>
          <rPr>
            <sz val="9"/>
            <color indexed="81"/>
            <rFont val="Tahoma"/>
            <charset val="1"/>
          </rPr>
          <t xml:space="preserve">
Source: stockanalysis.com (unofficial aggregator; S&amp;P Global Market Intelligence data), search snippet ~mid-2026, https://stockanalysis.com/stocks/msft/statistics/ – LTM EBITDA</t>
        </r>
      </text>
    </comment>
    <comment ref="L17" authorId="0" shapeId="0" xr:uid="{47258E8F-121B-48C8-B769-BC87718437A8}">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https://stockanalysis.com/stocks/msft/ – Beta</t>
        </r>
      </text>
    </comment>
    <comment ref="N17" authorId="0" shapeId="0" xr:uid="{274F8407-0C58-481A-8B39-ACE03770F13C}">
      <text>
        <r>
          <rPr>
            <b/>
            <sz val="9"/>
            <color indexed="81"/>
            <rFont val="Tahoma"/>
            <charset val="1"/>
          </rPr>
          <t>Rifat Tahmid:</t>
        </r>
        <r>
          <rPr>
            <sz val="9"/>
            <color indexed="81"/>
            <rFont val="Tahoma"/>
            <charset val="1"/>
          </rPr>
          <t xml:space="preserve">
Source: stockanalysis.com (unofficial aggregator; S&amp;P Global Market Intelligence data), search snippet ~mid-2026, https://stockanalysis.com/stocks/msft/statistics/ – LTM revenue</t>
        </r>
      </text>
    </comment>
    <comment ref="C18" authorId="0" shapeId="0" xr:uid="{5AF4597C-5D98-4CC6-A4B1-6F4FCB94333A}">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https://stockanalysis.com/stocks/googl/statistics/ – market cap</t>
        </r>
      </text>
    </comment>
    <comment ref="D18" authorId="0" shapeId="0" xr:uid="{9D5DB68D-1462-4018-852E-D5D5C47D8FFD}">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https://stockanalysis.com/stocks/googl/statistics/ – net debt = −(net cash)</t>
        </r>
      </text>
    </comment>
    <comment ref="G18" authorId="0" shapeId="0" xr:uid="{18AA885C-25D1-4093-BC9A-A2188E96F9F2}">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https://stockanalysis.com/stocks/googl/statistics/ – LTM EBITDA</t>
        </r>
      </text>
    </comment>
    <comment ref="L18" authorId="0" shapeId="0" xr:uid="{EEF56088-31D6-4714-B012-BB4228EF7712}">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https://stockanalysis.com/stocks/googl/statistics/ – Beta (5Y)</t>
        </r>
      </text>
    </comment>
    <comment ref="N18" authorId="0" shapeId="0" xr:uid="{271097D0-7A73-48E0-BD88-18F14EF30F0E}">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https://stockanalysis.com/stocks/googl/statistics/ – LTM revenue</t>
        </r>
      </text>
    </comment>
    <comment ref="O18" authorId="0" shapeId="0" xr:uid="{5DD65760-2362-453D-9639-429E869C983F}">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https://stockanalysis.com/stocks/googl/statistics/ – forward P/S (next fiscal year); next-FY revenue = market cap ÷ forward P/S</t>
        </r>
      </text>
    </comment>
    <comment ref="C19" authorId="0" shapeId="0" xr:uid="{DC2E2805-1217-4403-B936-7D78E89794E2}">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https://stockanalysis.com/stocks/amzn/statistics/ – market cap</t>
        </r>
      </text>
    </comment>
    <comment ref="D19" authorId="0" shapeId="0" xr:uid="{C3E4C164-7FE5-4B4B-912F-4E7D7B538C7B}">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https://stockanalysis.com/stocks/amzn/statistics/ – net debt = −(net cash)</t>
        </r>
      </text>
    </comment>
    <comment ref="G19" authorId="0" shapeId="0" xr:uid="{74067279-B72B-4F5A-BB1E-40D681454983}">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https://stockanalysis.com/stocks/amzn/statistics/ – LTM EBITDA</t>
        </r>
      </text>
    </comment>
    <comment ref="L19" authorId="0" shapeId="0" xr:uid="{A1FDF0BC-5FF4-47C4-A4B4-F6F434B1F90E}">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https://stockanalysis.com/stocks/amzn/statistics/ – Beta (5Y)</t>
        </r>
      </text>
    </comment>
    <comment ref="N19" authorId="0" shapeId="0" xr:uid="{14A9D384-D9FB-46C0-9D68-13FAD7036AAD}">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https://stockanalysis.com/stocks/amzn/statistics/ – LTM revenue</t>
        </r>
      </text>
    </comment>
    <comment ref="O19" authorId="0" shapeId="0" xr:uid="{FC056E92-6E3A-4896-9F0C-61C070FBF0EB}">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https://stockanalysis.com/stocks/amzn/statistics/ – forward P/S (next fiscal year); next-FY revenue = market cap ÷ forward P/S</t>
        </r>
      </text>
    </comment>
    <comment ref="C20" authorId="0" shapeId="0" xr:uid="{8E12C428-5E62-4C78-89CD-08872EEE6701}">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https://stockanalysis.com/stocks/meta/statistics/ – market cap</t>
        </r>
      </text>
    </comment>
    <comment ref="D20" authorId="0" shapeId="0" xr:uid="{096CD47E-C9D1-4365-A7EA-39EA05B6D026}">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https://stockanalysis.com/stocks/meta/statistics/ – net debt = −(net cash)</t>
        </r>
      </text>
    </comment>
    <comment ref="G20" authorId="0" shapeId="0" xr:uid="{69F81E6E-8A83-49A5-94C7-AF2371086C6E}">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https://stockanalysis.com/stocks/meta/statistics/ – LTM EBITDA</t>
        </r>
      </text>
    </comment>
    <comment ref="L20" authorId="0" shapeId="0" xr:uid="{583F320C-8D0F-487B-98E7-90B3D468BDCD}">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https://stockanalysis.com/stocks/meta/statistics/ – Beta (5Y)</t>
        </r>
      </text>
    </comment>
    <comment ref="N20" authorId="0" shapeId="0" xr:uid="{214B4B06-63E1-4877-B5A4-A9AA4AD1A8E2}">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https://stockanalysis.com/stocks/meta/statistics/ – LTM revenue</t>
        </r>
      </text>
    </comment>
    <comment ref="O20" authorId="0" shapeId="0" xr:uid="{0AACF0D3-735E-4C14-9A0C-29878AF53FF2}">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https://stockanalysis.com/stocks/meta/statistics/ – forward P/S (next fiscal year); next-FY revenue = market cap ÷ forward P/S</t>
        </r>
      </text>
    </comment>
    <comment ref="C21" authorId="0" shapeId="0" xr:uid="{7F27EC29-D7B5-47CC-93A2-19581D43EE78}">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https://stockanalysis.com/stocks/orcl/statistics/ – market cap</t>
        </r>
      </text>
    </comment>
    <comment ref="D21" authorId="0" shapeId="0" xr:uid="{284BE2F3-F2A8-409C-86CA-5AE7ECAFE26F}">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https://stockanalysis.com/stocks/orcl/statistics/ – net debt = −(net cash)</t>
        </r>
      </text>
    </comment>
    <comment ref="G21" authorId="0" shapeId="0" xr:uid="{74C8B6F8-4A25-44E4-9FFE-F5512AC2A0EB}">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https://stockanalysis.com/stocks/orcl/statistics/ – LTM EBITDA</t>
        </r>
      </text>
    </comment>
    <comment ref="L21" authorId="0" shapeId="0" xr:uid="{CE39759D-1156-45DC-BCF0-2765F964B736}">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https://stockanalysis.com/stocks/orcl/statistics/ – Beta (5Y)</t>
        </r>
      </text>
    </comment>
    <comment ref="N21" authorId="0" shapeId="0" xr:uid="{0BF652FA-C585-42EB-94E1-36FC070F49AD}">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https://stockanalysis.com/stocks/orcl/statistics/ – LTM revenue</t>
        </r>
      </text>
    </comment>
    <comment ref="O21" authorId="0" shapeId="0" xr:uid="{93EEF159-8CA3-4676-9162-278D2FD55788}">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https://stockanalysis.com/stocks/orcl/statistics/ – forward P/S (next fiscal year); next-FY revenue = market cap ÷ forward P/S</t>
        </r>
      </text>
    </comment>
    <comment ref="C27" authorId="0" shapeId="0" xr:uid="{41B0F2EE-EE2E-4EB8-BE81-313192636565}">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https://stockanalysis.com/stocks/now/statistics/ – market cap</t>
        </r>
      </text>
    </comment>
    <comment ref="D27" authorId="0" shapeId="0" xr:uid="{FD00E87F-C716-4D56-AC65-52373F56930B}">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https://stockanalysis.com/stocks/now/statistics/ – net debt = −(net cash)</t>
        </r>
      </text>
    </comment>
    <comment ref="G27" authorId="0" shapeId="0" xr:uid="{17BDC98E-2A01-4F84-A3D0-E805B69C6256}">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https://stockanalysis.com/stocks/now/statistics/ – LTM EBITDA</t>
        </r>
      </text>
    </comment>
    <comment ref="L27" authorId="0" shapeId="0" xr:uid="{8E91924A-125B-4D23-A26B-C28ECBD9A62B}">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https://stockanalysis.com/stocks/now/statistics/ – Beta (5Y)</t>
        </r>
      </text>
    </comment>
    <comment ref="N27" authorId="0" shapeId="0" xr:uid="{0A796352-CF50-4D57-A876-8EDD96EA3424}">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https://stockanalysis.com/stocks/now/statistics/ – LTM revenue</t>
        </r>
      </text>
    </comment>
    <comment ref="O27" authorId="0" shapeId="0" xr:uid="{D1B8DE4E-90F5-4930-9F2A-3502674FB0F5}">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https://stockanalysis.com/stocks/now/statistics/ – forward P/S (next fiscal year); next-FY revenue = market cap ÷ forward P/S</t>
        </r>
      </text>
    </comment>
    <comment ref="C28" authorId="0" shapeId="0" xr:uid="{A2935555-0938-4591-A173-B6E0F9D12DDC}">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https://stockanalysis.com/stocks/crm/statistics/ – market cap</t>
        </r>
      </text>
    </comment>
    <comment ref="D28" authorId="0" shapeId="0" xr:uid="{2FB464DC-0C3B-459E-8287-A4E911CBDCAC}">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https://stockanalysis.com/stocks/crm/statistics/ – net debt = −(net cash)</t>
        </r>
      </text>
    </comment>
    <comment ref="G28" authorId="0" shapeId="0" xr:uid="{485B2666-6FAB-42CD-A36C-CF453C20BE1B}">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https://stockanalysis.com/stocks/crm/statistics/ – LTM EBITDA</t>
        </r>
      </text>
    </comment>
    <comment ref="L28" authorId="0" shapeId="0" xr:uid="{9B5086AA-1DB4-4CA1-BE15-802ED9B3CC86}">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https://stockanalysis.com/stocks/crm/statistics/ – Beta (5Y)</t>
        </r>
      </text>
    </comment>
    <comment ref="N28" authorId="0" shapeId="0" xr:uid="{135099B6-A0DE-4A36-995D-F211A65261DA}">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https://stockanalysis.com/stocks/crm/statistics/ – LTM revenue</t>
        </r>
      </text>
    </comment>
    <comment ref="O28" authorId="0" shapeId="0" xr:uid="{EEB5B961-2DCD-40B4-9CCB-77FB7FEE2A67}">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https://stockanalysis.com/stocks/crm/statistics/ – forward P/S (next fiscal year); next-FY revenue = market cap ÷ forward P/S</t>
        </r>
      </text>
    </comment>
    <comment ref="C29" authorId="0" shapeId="0" xr:uid="{3A20434C-D69E-4807-95F3-3C75827F4A64}">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https://stockanalysis.com/stocks/snow/statistics/ – market cap</t>
        </r>
      </text>
    </comment>
    <comment ref="D29" authorId="0" shapeId="0" xr:uid="{9ADAC0B2-C038-463A-8A3F-421AD6CC19C6}">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https://stockanalysis.com/stocks/snow/statistics/ – net debt = −(net cash)</t>
        </r>
      </text>
    </comment>
    <comment ref="G29" authorId="0" shapeId="0" xr:uid="{D5231426-99E4-41EF-998F-FFB89BDF90DD}">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https://stockanalysis.com/stocks/snow/statistics/ – LTM EBITDA</t>
        </r>
      </text>
    </comment>
    <comment ref="L29" authorId="0" shapeId="0" xr:uid="{24CA19F1-F45A-4D15-92DA-F9A6365B22D3}">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https://stockanalysis.com/stocks/snow/statistics/ – Beta (5Y)</t>
        </r>
      </text>
    </comment>
    <comment ref="N29" authorId="0" shapeId="0" xr:uid="{BCC9C9C7-03E6-430D-8CD1-7BF3E1076111}">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https://stockanalysis.com/stocks/snow/statistics/ – LTM revenue</t>
        </r>
      </text>
    </comment>
    <comment ref="O29" authorId="0" shapeId="0" xr:uid="{BD886859-8293-4DA4-AF44-32CAD589D9F9}">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https://stockanalysis.com/stocks/snow/statistics/ – forward P/S (next fiscal year); next-FY revenue = market cap ÷ forward P/S</t>
        </r>
      </text>
    </comment>
    <comment ref="C30" authorId="0" shapeId="0" xr:uid="{CE080069-145F-405C-8AD7-D0A156937E6E}">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https://stockanalysis.com/stocks/ddog/statistics/ – market cap</t>
        </r>
      </text>
    </comment>
    <comment ref="D30" authorId="0" shapeId="0" xr:uid="{C491C15C-86B2-427B-B55F-E15FA22FB748}">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https://stockanalysis.com/stocks/ddog/statistics/ – net debt = −(net cash)</t>
        </r>
      </text>
    </comment>
    <comment ref="G30" authorId="0" shapeId="0" xr:uid="{02650EDC-F549-45A7-818C-9947A7BB0C25}">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https://stockanalysis.com/stocks/ddog/statistics/ – LTM EBITDA</t>
        </r>
      </text>
    </comment>
    <comment ref="L30" authorId="0" shapeId="0" xr:uid="{B20A3FE8-7DEA-4090-A34D-2FF6F5888F1F}">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https://stockanalysis.com/stocks/ddog/statistics/ – Beta (5Y)</t>
        </r>
      </text>
    </comment>
    <comment ref="N30" authorId="0" shapeId="0" xr:uid="{2601AD5C-0446-4F3E-95E5-FC7CE43219CD}">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https://stockanalysis.com/stocks/ddog/statistics/ – LTM revenue</t>
        </r>
      </text>
    </comment>
    <comment ref="O30" authorId="0" shapeId="0" xr:uid="{2518F757-8126-4E5E-AF0D-E16B1FC77CE6}">
      <text>
        <r>
          <rPr>
            <b/>
            <sz val="9"/>
            <color indexed="81"/>
            <rFont val="Tahoma"/>
            <charset val="1"/>
          </rPr>
          <t>Rifat Tahmid:</t>
        </r>
        <r>
          <rPr>
            <sz val="9"/>
            <color indexed="81"/>
            <rFont val="Tahoma"/>
            <charset val="1"/>
          </rPr>
          <t xml:space="preserve">
Source: stockanalysis.com (unofficial aggregator; S&amp;P Global Market Intelligence data), retrieved 27-Oct-2026, https://stockanalysis.com/stocks/ddog/statistics/ – forward P/S (next fiscal year); next-FY revenue = market cap ÷ forward P/S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Rifat Tahmid</author>
  </authors>
  <commentList>
    <comment ref="B7" authorId="0" shapeId="0" xr:uid="{6E7AF38E-A01C-4BC6-8BEA-6315DB116ABB}">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7" authorId="0" shapeId="0" xr:uid="{31F31ABF-E34E-4C39-9947-872FF5A9C0C8}">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7" authorId="0" shapeId="0" xr:uid="{0D0B4007-B6B6-4C19-8AF6-6C1E55747774}">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7" authorId="0" shapeId="0" xr:uid="{A6A453AA-2037-4357-95A1-0E0DE0DDE735}">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7" authorId="0" shapeId="0" xr:uid="{786BF95D-BCC9-43C4-A3A3-1B8CCA0A41CA}">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9" authorId="0" shapeId="0" xr:uid="{A3B74300-C22E-46FA-B678-7528FBAD910A}">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9" authorId="0" shapeId="0" xr:uid="{20F83E1C-4D33-4DE0-8893-3FE823A8A393}">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9" authorId="0" shapeId="0" xr:uid="{AE9D532C-ADFC-4E64-9393-280D0A0698BF}">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9" authorId="0" shapeId="0" xr:uid="{1BA4A80F-31BC-476D-B296-14492A792894}">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9" authorId="0" shapeId="0" xr:uid="{D0245685-5851-411A-9CF6-586147A94BE2}">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10" authorId="0" shapeId="0" xr:uid="{D2330215-BD5D-4437-AC64-6D65EA933527}">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10" authorId="0" shapeId="0" xr:uid="{92E06D41-A5FD-4875-8231-A44E67C9ADF4}">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10" authorId="0" shapeId="0" xr:uid="{D466E8D2-E905-4E3D-B94E-236C45341CF2}">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10" authorId="0" shapeId="0" xr:uid="{1621F250-9B59-44FD-82FE-6FAD2130885A}">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10" authorId="0" shapeId="0" xr:uid="{C2F80BD2-0B25-4C82-BD69-220C16DF5C3C}">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11" authorId="0" shapeId="0" xr:uid="{6DC77951-16B7-4DB8-B789-0905259A301D}">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11" authorId="0" shapeId="0" xr:uid="{342BA283-5C92-4CC4-A797-42E2BDC23ACB}">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11" authorId="0" shapeId="0" xr:uid="{2EE4005B-FF42-4458-B2AD-E5EB9A718524}">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11" authorId="0" shapeId="0" xr:uid="{5891EBB9-9152-4C25-B45B-5145207740FA}">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11" authorId="0" shapeId="0" xr:uid="{F6AAD665-BF7E-4F9B-AD84-E984C82FE88E}">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12" authorId="0" shapeId="0" xr:uid="{033DCBB4-662F-4B45-91AB-DA08506E6F83}">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12" authorId="0" shapeId="0" xr:uid="{D853BB7E-B4E5-4A82-A084-E6D8A35E95D9}">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12" authorId="0" shapeId="0" xr:uid="{F72B7C59-ACAF-4AA4-B52D-C4733C861382}">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12" authorId="0" shapeId="0" xr:uid="{57CAA70C-CF8E-40CF-A57D-EDED02AC67D8}">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12" authorId="0" shapeId="0" xr:uid="{9DF516F6-0010-41A3-91F5-A2CEB31BD04D}">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13" authorId="0" shapeId="0" xr:uid="{07A3035E-AA38-4EDE-AE81-7956DD4C0346}">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13" authorId="0" shapeId="0" xr:uid="{1E96F82D-411D-40A3-811A-FEF30750C39C}">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13" authorId="0" shapeId="0" xr:uid="{CD07F913-FBFA-49D9-A58B-335061E1FB42}">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13" authorId="0" shapeId="0" xr:uid="{6902D58D-9AFF-4AE9-A7FF-8FBBD8A00B8A}">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13" authorId="0" shapeId="0" xr:uid="{A7C08F8B-7AF7-4B8F-AC98-DE088CF4A757}">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14" authorId="0" shapeId="0" xr:uid="{DB0EA928-5781-4A59-B8D6-59A0ACF394E6}">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14" authorId="0" shapeId="0" xr:uid="{7850FCA9-4DF8-4398-8C96-ACB4A532D5D4}">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14" authorId="0" shapeId="0" xr:uid="{58C5A674-8296-457F-81F8-D7D97C870556}">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14" authorId="0" shapeId="0" xr:uid="{5AA2F20C-A7C8-45D0-808F-12F5AA1EF09E}">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14" authorId="0" shapeId="0" xr:uid="{827D7572-BDC5-4D3C-B59A-F41FDAF39B48}">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15" authorId="0" shapeId="0" xr:uid="{267ABF67-80A2-4304-B776-A1CABFA65550}">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15" authorId="0" shapeId="0" xr:uid="{D3FC528B-A8FD-40F1-A746-792B71E3D256}">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15" authorId="0" shapeId="0" xr:uid="{C5FE68A3-1CCA-4BCF-A538-74D5E301C198}">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15" authorId="0" shapeId="0" xr:uid="{3277EC75-03A0-4149-BFA8-332A5E871E52}">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15" authorId="0" shapeId="0" xr:uid="{2C1F4816-6E67-48A2-A843-2F90B4D6A9BB}">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16" authorId="0" shapeId="0" xr:uid="{5F18914F-1F46-49C6-BF6A-B9D8D76C5144}">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16" authorId="0" shapeId="0" xr:uid="{91ECADB0-F3AC-47A0-9278-EF69E9BB444A}">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16" authorId="0" shapeId="0" xr:uid="{29754A89-1938-4E74-B21E-F5C0DF83FDA0}">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16" authorId="0" shapeId="0" xr:uid="{B18A71D4-2851-478D-863B-B97A1DED3C1E}">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16" authorId="0" shapeId="0" xr:uid="{6714844F-81DE-4A53-B32F-80886400F595}">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17" authorId="0" shapeId="0" xr:uid="{F5C92F91-B491-48A7-8EBE-87706807EFED}">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17" authorId="0" shapeId="0" xr:uid="{C159740D-249D-4E02-AE3D-68751A508324}">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17" authorId="0" shapeId="0" xr:uid="{4C9E74A4-0E07-44E5-B400-EF7AF7328F41}">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17" authorId="0" shapeId="0" xr:uid="{6B7D48B8-60C9-49C5-AFB8-416A8330B1EA}">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17" authorId="0" shapeId="0" xr:uid="{55AAE0CF-8601-4C0A-88C2-2BFC323CDB3E}">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18" authorId="0" shapeId="0" xr:uid="{46DE35AD-A95F-47CF-8831-93E9E9E6EE44}">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18" authorId="0" shapeId="0" xr:uid="{7D78C07D-DF1C-43D0-A15E-5F12FFCF04B2}">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18" authorId="0" shapeId="0" xr:uid="{D1991485-A1CF-428D-AD33-B00216D53A4A}">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18" authorId="0" shapeId="0" xr:uid="{70269325-6BB6-463F-8618-D864E473A2DB}">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18" authorId="0" shapeId="0" xr:uid="{5DC90ABF-691A-4C76-8458-B31919FDC24A}">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19" authorId="0" shapeId="0" xr:uid="{BE238041-5822-4377-8F12-95D8E211B64A}">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19" authorId="0" shapeId="0" xr:uid="{6709532E-F8B4-48E1-BAB5-F31ABAC90F09}">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19" authorId="0" shapeId="0" xr:uid="{4118D228-25CC-4AE8-85AE-FC75ADF62629}">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19" authorId="0" shapeId="0" xr:uid="{1F84AB18-EE42-40B4-B069-3FD66D9866B3}">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19" authorId="0" shapeId="0" xr:uid="{412C2963-D7F4-4CC0-9E09-B1928EF5F6DD}">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20" authorId="0" shapeId="0" xr:uid="{54273A45-C5B0-4028-91F1-C500A9AA191C}">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20" authorId="0" shapeId="0" xr:uid="{E8D9DAA9-250B-4380-9E98-99EEFE06ED11}">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20" authorId="0" shapeId="0" xr:uid="{450B6E30-0D4A-430A-9F1B-036DBFA9B2BA}">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20" authorId="0" shapeId="0" xr:uid="{E86AD0E5-188B-428F-82A7-AB090EF442FB}">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20" authorId="0" shapeId="0" xr:uid="{76C56455-6CD1-42D6-952D-C6639402E4F1}">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21" authorId="0" shapeId="0" xr:uid="{B48C0CE3-A7BB-448F-97C2-E8EDCAACF023}">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21" authorId="0" shapeId="0" xr:uid="{BA482AB6-5344-44E3-8512-33F4288BCED1}">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21" authorId="0" shapeId="0" xr:uid="{2B6A06BF-113C-4099-B90E-4ADA20232DC8}">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21" authorId="0" shapeId="0" xr:uid="{DEB2C56C-CFAE-46C6-8CB2-6109A8CF3583}">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21" authorId="0" shapeId="0" xr:uid="{EDB0E09D-FA9B-4CC7-A59A-C6367430C812}">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22" authorId="0" shapeId="0" xr:uid="{831F954F-470F-4DC6-9798-5E77F780D7DF}">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22" authorId="0" shapeId="0" xr:uid="{2E3BF632-118C-44F6-AD27-D0E040F948F5}">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22" authorId="0" shapeId="0" xr:uid="{70E5A0A3-890C-4B60-B063-C5D301B2044B}">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22" authorId="0" shapeId="0" xr:uid="{97224F75-0EE4-4B26-AACB-26575609F733}">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22" authorId="0" shapeId="0" xr:uid="{C6DB542B-DABB-49C3-8FBA-BCC1791D2835}">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23" authorId="0" shapeId="0" xr:uid="{720536B9-FE5C-4C37-9EE0-8E05B65A6D1F}">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23" authorId="0" shapeId="0" xr:uid="{2121C523-8E3C-40BD-95BB-9829E91A2B68}">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23" authorId="0" shapeId="0" xr:uid="{32C4A274-2EB9-4A60-BA1C-CB88F390CFCE}">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23" authorId="0" shapeId="0" xr:uid="{1AC7878C-05DB-4098-B746-7B1EFF5189F6}">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23" authorId="0" shapeId="0" xr:uid="{726888F7-63E6-429B-96DE-9A346E204EFF}">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24" authorId="0" shapeId="0" xr:uid="{FABE7663-95C2-4B1F-9613-AABDD2403CEB}">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24" authorId="0" shapeId="0" xr:uid="{FB8D2849-671E-4057-A412-4AF92FD90AF2}">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24" authorId="0" shapeId="0" xr:uid="{68BA50C2-E1AF-4DD0-9087-7DC88D0CD09A}">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24" authorId="0" shapeId="0" xr:uid="{F0323E4E-1623-4B74-938F-A27F2B4F9686}">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24" authorId="0" shapeId="0" xr:uid="{C21E35BD-7D24-47F1-81CC-3774486E8A3F}">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25" authorId="0" shapeId="0" xr:uid="{5612225D-066E-4293-B7B9-4B8E59252BC4}">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25" authorId="0" shapeId="0" xr:uid="{A21D66CE-9F90-4BB2-BC77-73C7E59E8419}">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25" authorId="0" shapeId="0" xr:uid="{75498B92-5CB5-4338-ACF3-FBD7F942F79D}">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25" authorId="0" shapeId="0" xr:uid="{9B477844-563E-4ED4-9C0F-B2B1B51C88A3}">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25" authorId="0" shapeId="0" xr:uid="{2FB61A16-EEEA-440E-AE75-F279C3E569ED}">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26" authorId="0" shapeId="0" xr:uid="{8A15DE11-E7A4-4700-9D70-6DBF25726EB1}">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26" authorId="0" shapeId="0" xr:uid="{412067DF-9F96-4020-BD18-25703288B562}">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26" authorId="0" shapeId="0" xr:uid="{4109C8FB-F29E-427D-A3CB-F54306B49727}">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26" authorId="0" shapeId="0" xr:uid="{D41FCF2D-B18A-409D-B200-128FEBAF50C6}">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26" authorId="0" shapeId="0" xr:uid="{4CB4F053-2700-4CA9-B5EE-7F69D5273522}">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27" authorId="0" shapeId="0" xr:uid="{DA9B62AE-7542-460A-A664-6704F791ABBC}">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27" authorId="0" shapeId="0" xr:uid="{C3CBBF5B-921A-4876-8F00-CCB44B0D6B19}">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27" authorId="0" shapeId="0" xr:uid="{7F17C7E3-E3E7-4D68-A15B-2C9605DBD6DA}">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27" authorId="0" shapeId="0" xr:uid="{B0A72466-CEB9-442A-908F-F135DE4DC5A0}">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27" authorId="0" shapeId="0" xr:uid="{1A1277E7-F81F-4B9E-A57F-72D8DC1DEB1E}">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28" authorId="0" shapeId="0" xr:uid="{AD439365-8DC0-4D61-9570-60AFCFD34EC6}">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C28" authorId="0" shapeId="0" xr:uid="{5F223383-5F71-40F9-BF8A-87C72ECD4C8E}">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D28" authorId="0" shapeId="0" xr:uid="{529291D6-3BB8-4409-8F01-47D62DE87366}">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E28" authorId="0" shapeId="0" xr:uid="{6458482A-36E2-4DFE-816C-7BBCA8297268}">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F28" authorId="0" shapeId="0" xr:uid="{767554B2-6791-460D-85CF-2A759F5604EB}">
      <text>
        <r>
          <rPr>
            <b/>
            <sz val="9"/>
            <color indexed="81"/>
            <rFont val="Tahoma"/>
            <charset val="1"/>
          </rPr>
          <t>Rifat Tahmid:</t>
        </r>
        <r>
          <rPr>
            <sz val="9"/>
            <color indexed="81"/>
            <rFont val="Tahoma"/>
            <charset val="1"/>
          </rPr>
          <t xml:space="preserve">
Source: Anthropic, PBC Form S-1 (filed 26-Oct-2026), Summary/Consolidated Statements of Operations; Non-GAAP reconciliation, https://www.sec.gov/Archives/edgar/data/2130357/000162828026067168/anthropicpbc-sx1.htm</t>
        </r>
      </text>
    </comment>
    <comment ref="B33" authorId="0" shapeId="0" xr:uid="{96AD54D3-BA7B-4DB7-BBC1-5CEC77675978}">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33" authorId="0" shapeId="0" xr:uid="{FBBE5376-F8EB-4A92-AE69-8496B38F5424}">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33" authorId="0" shapeId="0" xr:uid="{E9F466E1-1A84-46EC-8748-06A18A10F5DD}">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33" authorId="0" shapeId="0" xr:uid="{FF7E30F2-24B4-4C48-9B67-D8C5ADD8A2E7}">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33" authorId="0" shapeId="0" xr:uid="{C588AC24-D992-4FDD-A929-B4CF5B4B5DC7}">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33" authorId="0" shapeId="0" xr:uid="{A63F9EBB-ECDE-497B-B9EF-590F1C3F040D}">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35" authorId="0" shapeId="0" xr:uid="{45BE322F-FC84-4B0B-80E0-FF600BE34949}">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35" authorId="0" shapeId="0" xr:uid="{21CF1896-563B-4FA2-A243-6258FF1F69A8}">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35" authorId="0" shapeId="0" xr:uid="{7B4D3C2F-69A8-4340-A23E-54D33337282E}">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35" authorId="0" shapeId="0" xr:uid="{322CD40E-8C91-4397-BFD4-8658C4C8F5AD}">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35" authorId="0" shapeId="0" xr:uid="{B868972E-9D5F-419D-8763-39CE70550A23}">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35" authorId="0" shapeId="0" xr:uid="{BBDE8A7A-C8EB-4F9C-ABCA-EA84BF9E8A24}">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36" authorId="0" shapeId="0" xr:uid="{0AE263BC-8C82-4965-9A1E-55F896C259C1}">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36" authorId="0" shapeId="0" xr:uid="{18F07051-2C49-41FA-BE94-436B5F013E0E}">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36" authorId="0" shapeId="0" xr:uid="{F9A8D943-39FA-4019-B93E-9175ECE39AE9}">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36" authorId="0" shapeId="0" xr:uid="{EE3E9C80-108F-4984-B10F-ECEA2983877A}">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36" authorId="0" shapeId="0" xr:uid="{50672C30-B179-4675-A5E8-7CEF679A1E87}">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36" authorId="0" shapeId="0" xr:uid="{55BD5161-196B-4ED8-9062-DC8CAC6E8761}">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37" authorId="0" shapeId="0" xr:uid="{1B0B5285-2D8B-4CFA-9392-18AB1AA4817C}">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37" authorId="0" shapeId="0" xr:uid="{415A6F1E-74A2-4DD6-A6C7-DC8D351C1C2C}">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37" authorId="0" shapeId="0" xr:uid="{83FB0C5D-FF78-43B5-80DA-9D63F28FE19E}">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37" authorId="0" shapeId="0" xr:uid="{C57D3CB4-2646-47B8-B022-90ED57688073}">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37" authorId="0" shapeId="0" xr:uid="{8F8A2262-91DF-40CC-8606-E1CDDE74993F}">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37" authorId="0" shapeId="0" xr:uid="{87FBD27E-00D0-405C-89A6-356F22FAFF7B}">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38" authorId="0" shapeId="0" xr:uid="{08667F33-CA41-434D-8AEF-5A65C08A639E}">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38" authorId="0" shapeId="0" xr:uid="{A7D4BA24-4EA6-4F1A-9E91-12AB54C3E0AF}">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38" authorId="0" shapeId="0" xr:uid="{5147C23F-844A-4B5C-89B7-79882A8301C0}">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38" authorId="0" shapeId="0" xr:uid="{802A37AE-BD3D-4DC6-BF2E-DAFB955D1C5D}">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38" authorId="0" shapeId="0" xr:uid="{F645C85C-7F9B-4145-A3E2-3B420E511A25}">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38" authorId="0" shapeId="0" xr:uid="{7D79024E-9CC9-41C2-AA49-D64587A2B62C}">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39" authorId="0" shapeId="0" xr:uid="{83249FCB-A18B-4C56-AADF-E976B1D124B6}">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39" authorId="0" shapeId="0" xr:uid="{3DD501E1-683D-40E7-B386-88674CB626A1}">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39" authorId="0" shapeId="0" xr:uid="{89796B66-4BEB-4086-A7AF-69098FB8AEA6}">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39" authorId="0" shapeId="0" xr:uid="{47CCE945-E89A-4197-B568-1ED6329C9621}">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39" authorId="0" shapeId="0" xr:uid="{91B73AB1-E68A-4CE3-8CE8-B77DB5BE7B92}">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39" authorId="0" shapeId="0" xr:uid="{59A2BE7E-AB70-431E-94DD-A52CCDC93C5F}">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40" authorId="0" shapeId="0" xr:uid="{97F25E63-20AB-4F42-8988-D772A9088FA4}">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40" authorId="0" shapeId="0" xr:uid="{90752072-E4F4-4065-B0FD-6476477DD7DF}">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40" authorId="0" shapeId="0" xr:uid="{22DF18EC-E5DC-49A4-9CF1-6F67CD7E728F}">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40" authorId="0" shapeId="0" xr:uid="{1954541B-9723-485A-88BC-87DB5BDEA667}">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40" authorId="0" shapeId="0" xr:uid="{3DD2C63C-3DA6-4246-ACEC-91D00BBA35C9}">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40" authorId="0" shapeId="0" xr:uid="{C9059286-2D8C-4D3E-97AD-A6DADD850FBE}">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41" authorId="0" shapeId="0" xr:uid="{E4988325-198D-4C88-8FD4-CC200E46A51F}">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41" authorId="0" shapeId="0" xr:uid="{999E5156-A558-42D2-9BDE-5A71D5E16456}">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41" authorId="0" shapeId="0" xr:uid="{D49B3425-6FA8-4487-A8A3-FB427F916830}">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41" authorId="0" shapeId="0" xr:uid="{7E58591F-D1EB-47C0-AE03-D6E6083F1F5C}">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41" authorId="0" shapeId="0" xr:uid="{EC10023D-806C-4B47-8548-8F4CA5C92075}">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41" authorId="0" shapeId="0" xr:uid="{5C6EA90B-7453-4C7D-812E-3304C552AFF8}">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42" authorId="0" shapeId="0" xr:uid="{1053E630-EB2E-488F-B883-8E5126B504FB}">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42" authorId="0" shapeId="0" xr:uid="{C825A70E-5070-4F10-AE89-6FA3CC418DAC}">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42" authorId="0" shapeId="0" xr:uid="{3FFB7551-061E-42DB-86CB-498B4176BEC6}">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42" authorId="0" shapeId="0" xr:uid="{5173F1BF-0CD2-40B0-B704-73188631723C}">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42" authorId="0" shapeId="0" xr:uid="{692217F5-A201-4E7C-A215-FFC5FBC34528}">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42" authorId="0" shapeId="0" xr:uid="{DB9F2DDF-94E5-4AA8-87E6-D8ABDECB3353}">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43" authorId="0" shapeId="0" xr:uid="{AD5C4A5E-343C-4BD3-A729-D37DD5C98272}">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43" authorId="0" shapeId="0" xr:uid="{2A716621-8137-45DE-9AC7-80C8B8A9B55E}">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43" authorId="0" shapeId="0" xr:uid="{DB9EC63A-F323-4E38-A2FE-694147409FB8}">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43" authorId="0" shapeId="0" xr:uid="{CA7341A3-76D7-4703-9A85-B94B82A40097}">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43" authorId="0" shapeId="0" xr:uid="{A2A112CA-AC7F-4D41-B024-FF9F116FBCDB}">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43" authorId="0" shapeId="0" xr:uid="{7B9FD911-BD72-4C50-BA2F-E8CEAFED1423}">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44" authorId="0" shapeId="0" xr:uid="{7DB4E55E-65A3-4E77-81DE-68EDA28392EF}">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44" authorId="0" shapeId="0" xr:uid="{75C89F4E-39D6-46FE-8137-E9AE821B49BD}">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44" authorId="0" shapeId="0" xr:uid="{880EA070-35B8-4B29-B85E-41CB03B125F2}">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44" authorId="0" shapeId="0" xr:uid="{1BBB8AE0-C51F-4576-8F89-212180C7A81A}">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44" authorId="0" shapeId="0" xr:uid="{D23EC4A4-0ACA-4390-89B5-2D536B1FAA8C}">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44" authorId="0" shapeId="0" xr:uid="{5ABBCDCD-724F-4A6B-83D8-0382E51F71BD}">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45" authorId="0" shapeId="0" xr:uid="{E8D46974-DD32-4BD7-9CD3-DD2FCFCA616F}">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45" authorId="0" shapeId="0" xr:uid="{6E0DBD16-8948-4199-A63C-C195396033CA}">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45" authorId="0" shapeId="0" xr:uid="{46BF2595-3984-4FBA-A38D-C9B5113C9866}">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45" authorId="0" shapeId="0" xr:uid="{DF1186C3-3761-48FE-89F3-90D6EA689DBE}">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45" authorId="0" shapeId="0" xr:uid="{868E91AD-645A-4851-9C8A-117EEA8D14D5}">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45" authorId="0" shapeId="0" xr:uid="{65A3EFA7-4F54-462B-942D-128CD1FD9072}">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46" authorId="0" shapeId="0" xr:uid="{8ED854BC-F0E4-4334-8DAD-85458A2C5A46}">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46" authorId="0" shapeId="0" xr:uid="{F5E0321E-5C9B-4D88-BE44-37E8360A424C}">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46" authorId="0" shapeId="0" xr:uid="{5B2E04A8-9F57-4175-85C8-9A3A5C4D0D72}">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46" authorId="0" shapeId="0" xr:uid="{BD3FC30C-3C63-4979-B73A-499224349D65}">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46" authorId="0" shapeId="0" xr:uid="{93683216-DC78-4460-98E8-AB1FDA065A29}">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46" authorId="0" shapeId="0" xr:uid="{276BEEF8-BF9C-4EA2-A02F-DF62FB85C923}">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47" authorId="0" shapeId="0" xr:uid="{2F279C4C-D468-4C64-BFA4-EFE4C0A18D5A}">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47" authorId="0" shapeId="0" xr:uid="{29485055-82EE-45F2-B4C0-14FE6312AE21}">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47" authorId="0" shapeId="0" xr:uid="{438BE603-9886-4ED4-AB3D-7D6E37A61FA2}">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47" authorId="0" shapeId="0" xr:uid="{77752678-4138-4319-A172-A78BEA9B1965}">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47" authorId="0" shapeId="0" xr:uid="{173A4642-FC08-4B21-9C04-BA3610A6A9FF}">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47" authorId="0" shapeId="0" xr:uid="{503219C6-76A8-49D9-A7FA-788CD472B365}">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48" authorId="0" shapeId="0" xr:uid="{377C7B35-E2D7-44D5-B6ED-B0D6F9DFB928}">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48" authorId="0" shapeId="0" xr:uid="{E26CAA07-AC96-4F58-97E0-1DAAD219CAFC}">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48" authorId="0" shapeId="0" xr:uid="{5581C853-EA7E-4023-9D90-08245FDD5738}">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48" authorId="0" shapeId="0" xr:uid="{204D1C3B-6337-45F5-85B5-420F28CECA42}">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48" authorId="0" shapeId="0" xr:uid="{332EABFD-48C3-4E84-856F-A76999F599E4}">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48" authorId="0" shapeId="0" xr:uid="{FFC809A5-0FB4-4A2A-87CB-C2BF626DFBA4}">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51" authorId="0" shapeId="0" xr:uid="{F7D88BC4-736B-4101-8161-4AE74B2048D4}">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51" authorId="0" shapeId="0" xr:uid="{ED339102-1DE8-4E96-BC48-B01D97EE9CFD}">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51" authorId="0" shapeId="0" xr:uid="{EFF067A0-0C3A-4356-9065-52D8F0AB341D}">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51" authorId="0" shapeId="0" xr:uid="{413A91E0-9648-4086-88BF-86C86033877C}">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51" authorId="0" shapeId="0" xr:uid="{B62D2365-3729-4AE2-91D7-EF503DB78F91}">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51" authorId="0" shapeId="0" xr:uid="{36291F7B-E51D-4859-A298-3FF516FB679C}">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52" authorId="0" shapeId="0" xr:uid="{0FA10F75-302A-4A9A-8A87-4072D35A17F5}">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52" authorId="0" shapeId="0" xr:uid="{66E2AB3D-75D6-4842-B69F-1C03BDE6B7AB}">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52" authorId="0" shapeId="0" xr:uid="{81A2D1D4-2A98-4883-BD4B-13CB86CFFE97}">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52" authorId="0" shapeId="0" xr:uid="{D64E1EA2-DF88-4E0C-BECD-C04716C26677}">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52" authorId="0" shapeId="0" xr:uid="{92A8C62D-2374-4A2F-8242-81AD774259F6}">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52" authorId="0" shapeId="0" xr:uid="{E403150B-A563-4059-A85A-05F53A81FBCE}">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53" authorId="0" shapeId="0" xr:uid="{FEDFB460-BAEA-477B-A16E-3FD9F70F1D2D}">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53" authorId="0" shapeId="0" xr:uid="{8FDBEC3E-304A-442E-B1C0-23F50391B780}">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53" authorId="0" shapeId="0" xr:uid="{FCBFB5DD-F184-4D63-8B89-50E94BC1298F}">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53" authorId="0" shapeId="0" xr:uid="{3191D1C1-09DB-45E4-A74C-C29C8C6B2936}">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53" authorId="0" shapeId="0" xr:uid="{7DA20B14-E6E6-45C7-A51E-E58C3D5373B1}">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53" authorId="0" shapeId="0" xr:uid="{7F7A5422-0977-46D7-B4A5-2F742E821928}">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54" authorId="0" shapeId="0" xr:uid="{10979377-F86D-41B5-A9F8-77F019ACCC55}">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54" authorId="0" shapeId="0" xr:uid="{E29883B6-7D44-4197-AD93-406062792522}">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54" authorId="0" shapeId="0" xr:uid="{42789E91-8FD1-4AC7-AC38-2A9C289026B9}">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54" authorId="0" shapeId="0" xr:uid="{D03F9F6B-0ACC-4434-AFC2-A36C4207BD19}">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54" authorId="0" shapeId="0" xr:uid="{1506F8C7-8FCF-45FB-BA3A-E204F449042B}">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54" authorId="0" shapeId="0" xr:uid="{F42F179B-AE5B-42CA-9C52-B4CD64CD53E5}">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61" authorId="0" shapeId="0" xr:uid="{B6B39682-7229-4F18-A59F-6D7D578B55CA}">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61" authorId="0" shapeId="0" xr:uid="{BD95CEFA-97F5-4BD8-88C5-0E358B42185F}">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61" authorId="0" shapeId="0" xr:uid="{9EB6348C-CAAC-40CC-8B32-28D33D804A81}">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61" authorId="0" shapeId="0" xr:uid="{11FDDD42-E99E-481B-AD54-3EC9193C6ECF}">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61" authorId="0" shapeId="0" xr:uid="{608D8714-90B7-4182-A8D1-40E7F0BC1FBF}">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61" authorId="0" shapeId="0" xr:uid="{039DBA47-8E36-407F-8A1B-40D8C1F5383D}">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62" authorId="0" shapeId="0" xr:uid="{064EE948-F813-4CC7-B4F7-A38D78357DA0}">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62" authorId="0" shapeId="0" xr:uid="{D526C609-8481-4172-886C-D63D383B1966}">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62" authorId="0" shapeId="0" xr:uid="{23D713F5-3823-43F2-B9B3-C2DAFF9193BA}">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62" authorId="0" shapeId="0" xr:uid="{04069C42-4AF5-4609-9325-ACD34E5C3469}">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62" authorId="0" shapeId="0" xr:uid="{0DB2A623-CDED-4985-B3CF-61AD7995328F}">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62" authorId="0" shapeId="0" xr:uid="{5BD87C01-C966-4CF1-8FFB-145192423C94}">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63" authorId="0" shapeId="0" xr:uid="{8FF940CA-507A-41A2-A08C-0FF3300F63A0}">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C63" authorId="0" shapeId="0" xr:uid="{55D3C62D-E25B-4510-81A1-A9CCFE0281C5}">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D63" authorId="0" shapeId="0" xr:uid="{3B0231C0-B317-4AE1-BE9B-55D3A72AD6AA}">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E63" authorId="0" shapeId="0" xr:uid="{60A4F860-E7B2-4910-84EF-CCE4008072CD}">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F63" authorId="0" shapeId="0" xr:uid="{C1CE0757-92D9-49ED-BEE8-B2F2AE2BC1A6}">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G63" authorId="0" shapeId="0" xr:uid="{2280667C-25FC-462B-99BF-99E6887FCDA1}">
      <text>
        <r>
          <rPr>
            <b/>
            <sz val="9"/>
            <color indexed="81"/>
            <rFont val="Tahoma"/>
            <charset val="1"/>
          </rPr>
          <t>Rifat Tahmid:</t>
        </r>
        <r>
          <rPr>
            <sz val="9"/>
            <color indexed="81"/>
            <rFont val="Tahoma"/>
            <charset val="1"/>
          </rPr>
          <t xml:space="preserve">
Source: Anthropic, PBC Form S-1 (filed 26-Oct-2026), MD&amp;A – Quarterly Results of Operations, https://www.sec.gov/Archives/edgar/data/2130357/000162828026067168/anthropicpbc-sx1.htm</t>
        </r>
      </text>
    </comment>
    <comment ref="B69" authorId="0" shapeId="0" xr:uid="{87ADE02F-FAB4-4069-93FF-0B4BEED2BC28}">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C69" authorId="0" shapeId="0" xr:uid="{91470DB2-0FF6-419A-93F1-1AB006E6D948}">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D69" authorId="0" shapeId="0" xr:uid="{A88447F3-2D78-4846-B9F4-BACC9A9A22F2}">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E69" authorId="0" shapeId="0" xr:uid="{0F2E5F94-4224-4644-8768-C5C897A9B619}">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F69" authorId="0" shapeId="0" xr:uid="{4F6A39E6-2CCB-4BBD-A42B-7EDCB42A93BC}">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B70" authorId="0" shapeId="0" xr:uid="{D1035B01-2240-41D0-B422-C12997D8C81A}">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C70" authorId="0" shapeId="0" xr:uid="{4482A7BC-CC38-41B4-ADD1-2D3A64C8D2BB}">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D70" authorId="0" shapeId="0" xr:uid="{DDE24407-5019-4A98-99B5-A719EBB8C0C6}">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E70" authorId="0" shapeId="0" xr:uid="{E3996954-1D99-40BC-85FF-26AD0DC2FB36}">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F70" authorId="0" shapeId="0" xr:uid="{F3E7FFB8-4B7F-4C1B-9C0C-E90F0A3014CB}">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B72" authorId="0" shapeId="0" xr:uid="{8C3CB40A-B59A-4AEA-BB72-7A9926264475}">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C72" authorId="0" shapeId="0" xr:uid="{5E4F383F-7DE9-4C5C-BFCA-BB276BC8988F}">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D72" authorId="0" shapeId="0" xr:uid="{C5B8F832-FBEF-4CD0-A94E-B9E39C9DC9A1}">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E72" authorId="0" shapeId="0" xr:uid="{1AD1E7C7-773C-4885-99D6-4C3D84BED8AD}">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F72" authorId="0" shapeId="0" xr:uid="{1E6BBE79-6C4C-4BE3-B454-7BC7B466DDAE}">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B73" authorId="0" shapeId="0" xr:uid="{037B197E-F593-4527-89AB-74E6C3F3D261}">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C73" authorId="0" shapeId="0" xr:uid="{7AB00516-F71A-4615-BA28-955BA5186DAC}">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D73" authorId="0" shapeId="0" xr:uid="{4182B6C8-FE81-4B77-8828-B1191076E329}">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E73" authorId="0" shapeId="0" xr:uid="{EC380393-0A98-4C6E-A3FB-3C01C384848F}">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F73" authorId="0" shapeId="0" xr:uid="{BAD1BC8E-6F64-4009-B0E8-06A56C103A52}">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F75" authorId="0" shapeId="0" xr:uid="{D545A8D2-7626-49E6-9651-B54E9E8CFEE8}">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F76" authorId="0" shapeId="0" xr:uid="{64F8F010-46B2-41AE-9BBA-D903D8348E18}">
      <text>
        <r>
          <rPr>
            <b/>
            <sz val="9"/>
            <color indexed="81"/>
            <rFont val="Tahoma"/>
            <charset val="1"/>
          </rPr>
          <t>Rifat Tahmid:</t>
        </r>
        <r>
          <rPr>
            <sz val="9"/>
            <color indexed="81"/>
            <rFont val="Tahoma"/>
            <charset val="1"/>
          </rPr>
          <t xml:space="preserve">
Source: Anthropic, PBC Form S-1 (filed 26-Oct-2026), Note 2 – Revenue, https://www.sec.gov/Archives/edgar/data/2130357/000162828026067168/anthropicpbc-sx1.htm</t>
        </r>
      </text>
    </comment>
    <comment ref="B82" authorId="0" shapeId="0" xr:uid="{4D0C5C2E-A850-44EF-9CB2-395E935D2F06}">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82" authorId="0" shapeId="0" xr:uid="{0C63F3FB-FBF9-46F9-9112-ABBE49397E20}">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82" authorId="0" shapeId="0" xr:uid="{A65E46E7-669F-4080-9065-B8FC0F588BFE}">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83" authorId="0" shapeId="0" xr:uid="{13294654-B54F-429C-B5E6-0DBA10CAF2BA}">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83" authorId="0" shapeId="0" xr:uid="{E29FF838-D2D6-47EB-9843-1AABAD5453C1}">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83" authorId="0" shapeId="0" xr:uid="{C7550DB3-94C9-46AA-B2D0-9505C7B9EA96}">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84" authorId="0" shapeId="0" xr:uid="{DAAF1280-00AF-4CE4-8631-998619F758A1}">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84" authorId="0" shapeId="0" xr:uid="{45A27BFC-69D3-46FB-B87A-62F71741DF2A}">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84" authorId="0" shapeId="0" xr:uid="{C0921DCF-B9A7-47AE-AC41-20523A27C964}">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85" authorId="0" shapeId="0" xr:uid="{B145BF86-1912-4573-B2A2-E099633056FE}">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85" authorId="0" shapeId="0" xr:uid="{B324986E-910D-4982-B0F8-644DEC771214}">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85" authorId="0" shapeId="0" xr:uid="{FEED083F-34B9-4994-B7E2-2154B786BB8F}">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86" authorId="0" shapeId="0" xr:uid="{A414B217-40AF-44A5-AEB0-4E28207B1A0C}">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86" authorId="0" shapeId="0" xr:uid="{3B28AF1B-669F-4827-9FF5-F0B7879ABFC3}">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86" authorId="0" shapeId="0" xr:uid="{F834DF6B-DC45-4C68-8577-D696CE8C2DA9}">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87" authorId="0" shapeId="0" xr:uid="{BBEC3946-0CB7-42BF-A41B-6D13C42B0491}">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87" authorId="0" shapeId="0" xr:uid="{69CAB098-4843-4E66-AA2E-A8511F353E92}">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87" authorId="0" shapeId="0" xr:uid="{01082298-0D91-4C2E-8BF5-A62CBB3ED48E}">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88" authorId="0" shapeId="0" xr:uid="{C0D6EE62-A3F8-431C-BA8E-993D10D2A761}">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88" authorId="0" shapeId="0" xr:uid="{F897873A-6E65-49CB-A5D5-4DD53C7A347B}">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88" authorId="0" shapeId="0" xr:uid="{40C70738-48E0-4D6D-B18E-4E8A91D3BB2C}">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89" authorId="0" shapeId="0" xr:uid="{DBF067B0-7775-4E1A-ACAD-4DBE58A7137D}">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89" authorId="0" shapeId="0" xr:uid="{D8666306-825B-4CB6-A5F9-E185251A8C54}">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89" authorId="0" shapeId="0" xr:uid="{2BD86FB0-4044-43CA-BB83-859F02956B13}">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90" authorId="0" shapeId="0" xr:uid="{83026FB7-8E66-41FC-8FC3-6611E3A26EFE}">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90" authorId="0" shapeId="0" xr:uid="{33EB3156-263A-4E8A-B0D8-236A24FD22C7}">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90" authorId="0" shapeId="0" xr:uid="{4D2F9CAF-8702-4883-9C5D-472F56E9222D}">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91" authorId="0" shapeId="0" xr:uid="{C458EB8D-F18D-4E64-8698-237645B400C5}">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91" authorId="0" shapeId="0" xr:uid="{ACA8F06D-33F7-4A30-8851-EC1BCBA37B60}">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91" authorId="0" shapeId="0" xr:uid="{C9C0B2EC-3D3F-4418-AD2B-11A816B7D56B}">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92" authorId="0" shapeId="0" xr:uid="{4037CF71-DA1A-4E3D-B451-EFC5BF3C375A}">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92" authorId="0" shapeId="0" xr:uid="{256ECBE8-A587-4C9B-A9BE-AFBF52E2A45A}">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92" authorId="0" shapeId="0" xr:uid="{8C9FBEC6-CE87-405C-AE63-FB98401DE8BE}">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93" authorId="0" shapeId="0" xr:uid="{BB5EBC77-568C-42B2-A335-9457365E0395}">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93" authorId="0" shapeId="0" xr:uid="{1E45F12A-2BEC-46E4-9568-B4BDA521888F}">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93" authorId="0" shapeId="0" xr:uid="{AA75F1FD-33D3-48FA-8BDA-D3D99812B04A}">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94" authorId="0" shapeId="0" xr:uid="{76FB5BDC-DE72-40FF-90BA-A59A3B627E4A}">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94" authorId="0" shapeId="0" xr:uid="{FB1C76C8-5FE4-456F-95D5-84E870271693}">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94" authorId="0" shapeId="0" xr:uid="{A7DDDAE8-CBB3-4EDB-B392-13A0952DF635}">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95" authorId="0" shapeId="0" xr:uid="{F7D58490-45EA-4592-BEF5-49FFB7AD76D1}">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95" authorId="0" shapeId="0" xr:uid="{407ACDC3-2884-41E7-B1EC-E52577D960C9}">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95" authorId="0" shapeId="0" xr:uid="{4DF9D5C0-084F-4BB2-93E4-0CBCC27774C3}">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96" authorId="0" shapeId="0" xr:uid="{0A4AB91A-ED9A-4006-9A73-C6F4F637C4C6}">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96" authorId="0" shapeId="0" xr:uid="{788C52B3-3E4C-4272-AFB4-5900361BD269}">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96" authorId="0" shapeId="0" xr:uid="{100E96A0-C588-4D53-A7AC-D5A0438EB219}">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97" authorId="0" shapeId="0" xr:uid="{26409935-602F-495D-A75A-DA65219C5426}">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97" authorId="0" shapeId="0" xr:uid="{3ECE5523-9B8E-40E3-A4F5-1CDF6ACA95B8}">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97" authorId="0" shapeId="0" xr:uid="{0991A5E9-15C3-4BD6-9181-7FAEA623DE0B}">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98" authorId="0" shapeId="0" xr:uid="{F8E841F3-5FBF-472B-BF9D-34A5BBD1E263}">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98" authorId="0" shapeId="0" xr:uid="{432E57FE-F9E3-4C61-9643-D1C4ED79D00E}">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98" authorId="0" shapeId="0" xr:uid="{06891B5F-FEA2-4976-AB67-F5A0B2A59F83}">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99" authorId="0" shapeId="0" xr:uid="{613701EA-8B24-4BDE-ADC7-418EA5770819}">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99" authorId="0" shapeId="0" xr:uid="{2BECBFD8-816E-4684-BE22-61AAA91269C3}">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99" authorId="0" shapeId="0" xr:uid="{20082154-B4D8-4C4F-A30E-E69BD78CCEF5}">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100" authorId="0" shapeId="0" xr:uid="{4970A397-BA1E-468D-9900-45EDAD4DE7B7}">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100" authorId="0" shapeId="0" xr:uid="{5BEB5D48-FB1B-43C9-B898-7550EAECD0AA}">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100" authorId="0" shapeId="0" xr:uid="{D35BB105-E596-43C9-AC3C-19322DF62F90}">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101" authorId="0" shapeId="0" xr:uid="{D6E5BE69-D8AD-4D03-A1C0-AE3E3AB1A71C}">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101" authorId="0" shapeId="0" xr:uid="{1D64E7DC-C225-4C54-9C61-251A4918BA06}">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101" authorId="0" shapeId="0" xr:uid="{060D4A81-86DF-4526-B769-747A671EC471}">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102" authorId="0" shapeId="0" xr:uid="{05070A17-8B5F-47BD-983C-1C623B6AC47D}">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102" authorId="0" shapeId="0" xr:uid="{AA58EF82-67C0-45EE-9D41-1A0AED5357E3}">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102" authorId="0" shapeId="0" xr:uid="{A98C09FD-C5A6-4DEA-804A-D3DE8A37380D}">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103" authorId="0" shapeId="0" xr:uid="{27AA4BEA-32C9-4B5F-B24D-C6E9942A25DD}">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103" authorId="0" shapeId="0" xr:uid="{031AB2DE-95EB-48E8-828E-14264787E3F9}">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103" authorId="0" shapeId="0" xr:uid="{DA4B21AB-B1A9-4802-8F54-7EA7A35C8E2F}">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104" authorId="0" shapeId="0" xr:uid="{52E5637B-D41E-42A3-92C8-1EFCBEED70C9}">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104" authorId="0" shapeId="0" xr:uid="{97456021-10EA-4CFF-A395-FDADC1D6CD47}">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104" authorId="0" shapeId="0" xr:uid="{02F3399E-1420-4F73-BBCE-1AECF62C37F1}">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105" authorId="0" shapeId="0" xr:uid="{935792DA-4774-46F4-95CA-79E0C88D5488}">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105" authorId="0" shapeId="0" xr:uid="{15704ED9-F530-4CE4-B280-03431D76AD8D}">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105" authorId="0" shapeId="0" xr:uid="{0D92682A-A2F5-42D9-A02B-E7C584C63E7B}">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106" authorId="0" shapeId="0" xr:uid="{181FBF0F-BBBB-4EA5-8E24-257391D017F4}">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106" authorId="0" shapeId="0" xr:uid="{5DD253D9-CF19-4B0D-B0F0-B59C08581EC6}">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106" authorId="0" shapeId="0" xr:uid="{C185AAAB-D1B5-4D5F-AA9D-D27B80D11CB6}">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107" authorId="0" shapeId="0" xr:uid="{918ECD70-7A31-401C-B0F1-5CE1D79FACE7}">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107" authorId="0" shapeId="0" xr:uid="{B266E702-2B3A-4ABB-BD48-CDEC3DDB02C9}">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107" authorId="0" shapeId="0" xr:uid="{0650E44A-77DB-43DE-9651-B56C66133CAC}">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108" authorId="0" shapeId="0" xr:uid="{BCCA6273-B02F-40C1-A444-18BEAB4E1D24}">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108" authorId="0" shapeId="0" xr:uid="{6436D1AC-7CD5-4710-9499-9607EA820FC3}">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108" authorId="0" shapeId="0" xr:uid="{A1C4A68B-9ABF-4A38-BB75-C164216266AD}">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109" authorId="0" shapeId="0" xr:uid="{69D4541D-D26A-4D65-8D8A-93EBC6FB95C9}">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C109" authorId="0" shapeId="0" xr:uid="{437F646B-56CD-487E-B979-E941EFBFAF05}">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D109" authorId="0" shapeId="0" xr:uid="{D30008E1-7216-40EE-9D38-40FD2CD9FA53}">
      <text>
        <r>
          <rPr>
            <b/>
            <sz val="9"/>
            <color indexed="81"/>
            <rFont val="Tahoma"/>
            <charset val="1"/>
          </rPr>
          <t>Rifat Tahmid:</t>
        </r>
        <r>
          <rPr>
            <sz val="9"/>
            <color indexed="81"/>
            <rFont val="Tahoma"/>
            <charset val="1"/>
          </rPr>
          <t xml:space="preserve">
Source: Anthropic, PBC Form S-1 (filed 26-Oct-2026), Consolidated Balance Sheets, https://www.sec.gov/Archives/edgar/data/2130357/000162828026067168/anthropicpbc-sx1.htm</t>
        </r>
      </text>
    </comment>
    <comment ref="B114" authorId="0" shapeId="0" xr:uid="{31C5AE2E-DA4D-4CAA-844B-0B6D26E0933C}">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14" authorId="0" shapeId="0" xr:uid="{354C867E-8DA1-4E51-B725-EF4BD457406D}">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14" authorId="0" shapeId="0" xr:uid="{8C5C08F8-6897-49C2-9262-B7CE7BA6C484}">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14" authorId="0" shapeId="0" xr:uid="{CD135D26-F396-4667-A7A6-5990897A9B0E}">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14" authorId="0" shapeId="0" xr:uid="{57CEF1A5-694B-4AD5-B06A-B225A332DB85}">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16" authorId="0" shapeId="0" xr:uid="{A5CE0C8F-45D9-41FD-9994-39101AAE690D}">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16" authorId="0" shapeId="0" xr:uid="{6B7D2539-3E8C-4E70-B353-DA0CB34BB873}">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16" authorId="0" shapeId="0" xr:uid="{F5D565C5-D07C-4CC5-B9B9-32D67C997F53}">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16" authorId="0" shapeId="0" xr:uid="{4C8D09B0-50D7-41F3-9FF5-2512426BA808}">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16" authorId="0" shapeId="0" xr:uid="{4C1CD70C-688C-4FBE-B791-07813BB8A945}">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17" authorId="0" shapeId="0" xr:uid="{FBA0CAB8-26BA-4C6D-9E11-15E36F102A3C}">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17" authorId="0" shapeId="0" xr:uid="{102D9D7D-F556-46E6-BE63-453AD70C344F}">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17" authorId="0" shapeId="0" xr:uid="{1970C868-4AE3-47CA-8CB3-6642260B743E}">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17" authorId="0" shapeId="0" xr:uid="{5A624857-316C-4595-A102-7D2169FC9A97}">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17" authorId="0" shapeId="0" xr:uid="{56575CDC-1FAF-4A91-AEC2-C0FDEEA0263B}">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18" authorId="0" shapeId="0" xr:uid="{AE18473F-50EE-4640-B76B-C253E19740C9}">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18" authorId="0" shapeId="0" xr:uid="{B4D7650A-D5C1-49E9-B79E-DF9CCA6A98D3}">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18" authorId="0" shapeId="0" xr:uid="{893BD011-C523-432F-801D-1256D4AA01F2}">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18" authorId="0" shapeId="0" xr:uid="{EED0EE31-B0EF-4978-BC66-8DBB81E37E49}">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18" authorId="0" shapeId="0" xr:uid="{289F1321-D5D6-445F-A64C-F945C17D7D87}">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19" authorId="0" shapeId="0" xr:uid="{F8773E24-EDEE-438E-A1AF-DFFFB5AA481A}">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19" authorId="0" shapeId="0" xr:uid="{9799EAFA-AE47-41C9-81B2-B25A63A4DF1B}">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19" authorId="0" shapeId="0" xr:uid="{1D2BC2EE-CC12-41DC-B67A-20CCC719485C}">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19" authorId="0" shapeId="0" xr:uid="{9AF88025-792F-4C08-A1ED-23117B1F23EB}">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19" authorId="0" shapeId="0" xr:uid="{70919C81-8651-4398-B3A7-5639AC1E156F}">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20" authorId="0" shapeId="0" xr:uid="{D16F3ADD-147C-4B14-9B15-B2B7447AEEBD}">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20" authorId="0" shapeId="0" xr:uid="{0BB315D7-4AC1-489C-B7AC-1D12831BF478}">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20" authorId="0" shapeId="0" xr:uid="{062CC3F4-044E-4F4C-B669-C8AFDACC8AFC}">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20" authorId="0" shapeId="0" xr:uid="{62473632-3808-4CF8-BA21-C1DFAB597291}">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20" authorId="0" shapeId="0" xr:uid="{9146A8FA-5976-4D65-A8D7-4A479C3EEE2F}">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21" authorId="0" shapeId="0" xr:uid="{E311E1CC-903B-485B-976A-E1ECE2523C4F}">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21" authorId="0" shapeId="0" xr:uid="{A5B18E83-5BCC-4619-A53D-CDCDC489397A}">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21" authorId="0" shapeId="0" xr:uid="{B391C3EE-21F4-4FEE-A42D-FF662B67407D}">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21" authorId="0" shapeId="0" xr:uid="{AA29C833-9995-4FD6-B018-D395AF1E3925}">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21" authorId="0" shapeId="0" xr:uid="{C9BBCCE6-CD47-4AEC-964D-F92515194595}">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23" authorId="0" shapeId="0" xr:uid="{3CD561AE-B646-4439-B18A-7414390AF381}">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23" authorId="0" shapeId="0" xr:uid="{6CCF060D-D5CA-4F04-957B-34956C3FAA58}">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23" authorId="0" shapeId="0" xr:uid="{A7DF093E-A12A-499F-90BE-AE7218D6F01B}">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23" authorId="0" shapeId="0" xr:uid="{68D6EFB5-8524-4655-B3FE-A014DBECF85F}">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23" authorId="0" shapeId="0" xr:uid="{A8BD89B1-6127-4988-9352-15CAB44968F0}">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24" authorId="0" shapeId="0" xr:uid="{80E212F2-C475-4165-8F74-ECC3ADBBBE0D}">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24" authorId="0" shapeId="0" xr:uid="{5FCFC40C-6616-4BD6-8DFC-0C241A034D0D}">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24" authorId="0" shapeId="0" xr:uid="{31130379-8F7A-43E1-AA91-3058ADE5ECF2}">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24" authorId="0" shapeId="0" xr:uid="{0561DDF9-8932-48CE-895B-9A790ADA267C}">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24" authorId="0" shapeId="0" xr:uid="{D289624B-4671-43F6-9D8C-FE94AD926A50}">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25" authorId="0" shapeId="0" xr:uid="{A600DEE9-B64D-4AC7-B20B-D16669D407B4}">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25" authorId="0" shapeId="0" xr:uid="{8FD287FA-921D-4080-A567-A3D1E2C56BF2}">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25" authorId="0" shapeId="0" xr:uid="{607CCE43-E487-438C-942B-FDAFDADD6155}">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25" authorId="0" shapeId="0" xr:uid="{B8B19EF8-2EEB-4617-9D57-E956612F3A23}">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25" authorId="0" shapeId="0" xr:uid="{71F9F9FC-9861-4A96-9684-4A7424F49EFC}">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26" authorId="0" shapeId="0" xr:uid="{41D546C3-0C6D-4213-8F6B-2A5AD56F66A5}">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26" authorId="0" shapeId="0" xr:uid="{815114DB-0987-4FB3-AB02-5A45C08DFA0E}">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26" authorId="0" shapeId="0" xr:uid="{276D8A87-66E3-4F25-89BC-539CC46D7EBA}">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26" authorId="0" shapeId="0" xr:uid="{48FB332F-792E-4AF1-BF32-8211B8CD525E}">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26" authorId="0" shapeId="0" xr:uid="{7887EE94-1BCE-41D8-9075-32D9196F6A43}">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27" authorId="0" shapeId="0" xr:uid="{27779D05-9E84-42B5-A1FB-28C833CD4069}">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27" authorId="0" shapeId="0" xr:uid="{300B6BC0-95B2-4EEE-9BB9-8E7514831A09}">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27" authorId="0" shapeId="0" xr:uid="{06E57EAD-AB48-43C8-8A08-3901A7AD41F3}">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27" authorId="0" shapeId="0" xr:uid="{E139CA6D-61DA-46BF-895E-EAAEFB2063D3}">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27" authorId="0" shapeId="0" xr:uid="{27AE84B2-43A6-4888-AC73-C67A69ADB800}">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28" authorId="0" shapeId="0" xr:uid="{BBA7B81B-D293-4E94-880C-6B2867A7A53C}">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28" authorId="0" shapeId="0" xr:uid="{7547FF3F-CF64-4573-876A-39809FBE87FB}">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28" authorId="0" shapeId="0" xr:uid="{2439094D-4095-4DA0-B8A7-EFBD599E1ACC}">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28" authorId="0" shapeId="0" xr:uid="{D1AA2154-DE5F-43D9-B707-87278E98AEDC}">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28" authorId="0" shapeId="0" xr:uid="{5AD9CF01-D3BE-417A-9619-6CA9C3A6D3CC}">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30" authorId="0" shapeId="0" xr:uid="{1D4B7F64-A8A1-4AAC-8387-5461D7DB0CAB}">
      <text>
        <r>
          <rPr>
            <b/>
            <sz val="9"/>
            <color indexed="81"/>
            <rFont val="Tahoma"/>
            <charset val="1"/>
          </rPr>
          <t>Rifat Tahmid:</t>
        </r>
        <r>
          <rPr>
            <sz val="9"/>
            <color indexed="81"/>
            <rFont val="Tahoma"/>
            <charset val="1"/>
          </rPr>
          <t xml:space="preserve">
Source: Form S-1 filed 26-Oct-2026, Consolidated Statements of Cash Flows. FY2023 value (2) verified by footing: CFO (1,627) + CFI (2) + CFF 2,320 = net increase 691.</t>
        </r>
      </text>
    </comment>
    <comment ref="C130" authorId="0" shapeId="0" xr:uid="{F10DEF86-3BDA-424D-985B-FB65E85F789B}">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30" authorId="0" shapeId="0" xr:uid="{2B57E4F0-6759-42F2-BB7B-BEA5F34DAC6B}">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30" authorId="0" shapeId="0" xr:uid="{A65DB31B-6351-4080-9390-FD79EE97A2B7}">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30" authorId="0" shapeId="0" xr:uid="{8E9F345C-61EF-46D1-BA11-C0378BE293E8}">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31" authorId="0" shapeId="0" xr:uid="{1399BF0A-602F-4C54-981C-6BAF86603ABC}">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31" authorId="0" shapeId="0" xr:uid="{5BF53B11-D026-4939-8170-C25FD5AFB1C8}">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31" authorId="0" shapeId="0" xr:uid="{3FE5D0DC-EDE4-4E62-9585-DC6131D940BC}">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31" authorId="0" shapeId="0" xr:uid="{EAB0AC30-09FF-477D-8A5E-3C0DA47507D2}">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31" authorId="0" shapeId="0" xr:uid="{22263661-B90C-4C1B-AC0D-A5126F7CF214}">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32" authorId="0" shapeId="0" xr:uid="{AFA26380-D4B6-46A6-ACCF-D9159C805070}">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32" authorId="0" shapeId="0" xr:uid="{DEE8A2A9-5893-4575-B673-34C66FEE19F7}">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32" authorId="0" shapeId="0" xr:uid="{5914004D-2521-4ED0-984F-5BADCCBDAE0F}">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32" authorId="0" shapeId="0" xr:uid="{E413686C-FB2D-4BCD-BAD7-C752A4ED2DEA}">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32" authorId="0" shapeId="0" xr:uid="{35EAF6F5-33DF-4940-A9E1-5DBC67E35160}">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33" authorId="0" shapeId="0" xr:uid="{BE95C8F6-8115-4056-9E46-65C272D2E5C8}">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33" authorId="0" shapeId="0" xr:uid="{C79A3CCA-A1DA-418F-8886-7AFE9839E4A1}">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33" authorId="0" shapeId="0" xr:uid="{6FB883C9-9871-453F-A708-A484CE465D65}">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33" authorId="0" shapeId="0" xr:uid="{5F55A8E3-C0A8-471C-A6A6-684F564FFF39}">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33" authorId="0" shapeId="0" xr:uid="{12150C40-B13F-40BF-819A-1512506672EE}">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34" authorId="0" shapeId="0" xr:uid="{A6416204-195E-42C2-881C-30C2CBB7AA04}">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34" authorId="0" shapeId="0" xr:uid="{B7C0A6DE-F6C2-4D2F-B0FE-EA546AA9ECDB}">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34" authorId="0" shapeId="0" xr:uid="{46C7D4E5-7CC5-43E6-9FEF-2F3181326837}">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34" authorId="0" shapeId="0" xr:uid="{9EED97EA-BF6E-4AF7-AB43-CFD19CAC3C9D}">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34" authorId="0" shapeId="0" xr:uid="{3060220C-C2A6-4055-B65D-9C2A6FDEF230}">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36" authorId="0" shapeId="0" xr:uid="{1D05D4C0-64D8-4614-A82A-CB23A4C4CFFE}">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36" authorId="0" shapeId="0" xr:uid="{C21F24F4-40FC-42B6-88C0-A50C91331F52}">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36" authorId="0" shapeId="0" xr:uid="{F1FFFBB7-F571-475F-B6F7-804657283A5F}">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36" authorId="0" shapeId="0" xr:uid="{CEB70357-F55B-4FC5-A0FF-609133D998C5}">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36" authorId="0" shapeId="0" xr:uid="{00B8BCD3-A15A-4AA4-811B-D6FD2E60EA36}">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37" authorId="0" shapeId="0" xr:uid="{0B47DCF0-0246-4F21-A30C-8D49144A2651}">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37" authorId="0" shapeId="0" xr:uid="{CEE46A03-1556-485A-B1D0-2E69435D675C}">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37" authorId="0" shapeId="0" xr:uid="{71EF3C93-32E5-4F65-ACB2-B277BABDA5AB}">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37" authorId="0" shapeId="0" xr:uid="{2A55CC60-0BB7-4A4F-819D-9FD5AC52F5A6}">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37" authorId="0" shapeId="0" xr:uid="{4D150D23-3C3B-4D44-B796-17FCC5485F28}">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38" authorId="0" shapeId="0" xr:uid="{EF8C310A-780C-4591-A7CC-55E29E592AD5}">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38" authorId="0" shapeId="0" xr:uid="{6D99DBD4-6DBD-4EEF-8F81-0623ADE901CE}">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38" authorId="0" shapeId="0" xr:uid="{BB59C465-A40C-4849-9298-FC27FE917EFA}">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38" authorId="0" shapeId="0" xr:uid="{2384A21B-201F-4530-B239-A5ED55ED1BBD}">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38" authorId="0" shapeId="0" xr:uid="{B7E10D89-736E-4295-8B21-A3F8EF95D079}">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39" authorId="0" shapeId="0" xr:uid="{685908C6-B63C-40F6-A690-1F5A0C292FBA}">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39" authorId="0" shapeId="0" xr:uid="{52B24479-9BB9-4589-B227-B8DE77506217}">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39" authorId="0" shapeId="0" xr:uid="{32CE0664-042D-4AAB-AEF5-8D73331119B6}">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39" authorId="0" shapeId="0" xr:uid="{54152B1E-5130-46C7-9F61-6F449AEB0DE4}">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39" authorId="0" shapeId="0" xr:uid="{016F5B7A-EEE9-4345-BCFF-FA0672B3D8B6}">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40" authorId="0" shapeId="0" xr:uid="{2AECAC3C-6996-45C2-9093-18BD6A4E63F9}">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40" authorId="0" shapeId="0" xr:uid="{C0800F4A-D99D-4053-A167-418F7ACCF960}">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40" authorId="0" shapeId="0" xr:uid="{CB2158E3-553F-4063-8378-36C8348F2E34}">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40" authorId="0" shapeId="0" xr:uid="{C8A5B07F-91AD-4AB4-B34D-F2EBB1D1BC37}">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40" authorId="0" shapeId="0" xr:uid="{4DCACDDD-D369-4BA7-9789-3F7D7D08AB0E}">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41" authorId="0" shapeId="0" xr:uid="{9599955B-CE78-446D-AE3C-9E1FD919DBA5}">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41" authorId="0" shapeId="0" xr:uid="{76743624-5B5C-4961-8E1A-CC958ED07124}">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41" authorId="0" shapeId="0" xr:uid="{0336062D-67A1-4244-8B2A-9B47F4D84075}">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41" authorId="0" shapeId="0" xr:uid="{6F8EEF1C-FB11-4FD5-9B3D-F44120C86995}">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41" authorId="0" shapeId="0" xr:uid="{ED11B2A0-B34F-46B7-8F82-505659A227EA}">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42" authorId="0" shapeId="0" xr:uid="{0FCB8A69-6B64-4244-8BF4-6AF5BACEDC85}">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42" authorId="0" shapeId="0" xr:uid="{B66CD972-E8C8-471B-AD27-7847F07A4123}">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42" authorId="0" shapeId="0" xr:uid="{378D63AE-2F61-44C5-9BBC-DBC5A2458448}">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42" authorId="0" shapeId="0" xr:uid="{81EE3007-A426-4A33-92A7-D4A372B86788}">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42" authorId="0" shapeId="0" xr:uid="{2D2FD4E4-75BE-4506-B266-5CD4B410555F}">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43" authorId="0" shapeId="0" xr:uid="{2EFF7EA6-C2EE-4178-AD37-5C5D5F7FC919}">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43" authorId="0" shapeId="0" xr:uid="{F49413AE-3F40-42FA-A7AE-3B137364D792}">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43" authorId="0" shapeId="0" xr:uid="{25F5969F-B752-4585-B6E8-55B359171525}">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43" authorId="0" shapeId="0" xr:uid="{61CAD156-60C9-4A2C-A6E8-853C8DEAB3E5}">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43" authorId="0" shapeId="0" xr:uid="{905A5A53-A2FE-4461-AE43-2084E4462D85}">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44" authorId="0" shapeId="0" xr:uid="{E1250C3D-F315-41F4-AE4E-FFF921A46ED7}">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44" authorId="0" shapeId="0" xr:uid="{FF099711-8C63-42DC-8A93-2F9A0A531373}">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44" authorId="0" shapeId="0" xr:uid="{B4BE31CB-EBC3-485C-9B64-BDDCD96D197C}">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44" authorId="0" shapeId="0" xr:uid="{F80EB1E1-1D3D-4F04-87F4-E020990E4544}">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44" authorId="0" shapeId="0" xr:uid="{A4F4F206-9487-45DD-8646-620CB10386E3}">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45" authorId="0" shapeId="0" xr:uid="{AAD16735-A8F6-4FCC-889F-248F6630A5BA}">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45" authorId="0" shapeId="0" xr:uid="{586427AC-DD26-44B0-9614-F845C1CE763F}">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45" authorId="0" shapeId="0" xr:uid="{EE680C59-8E9C-4E1E-8BDC-D1A3046D8F52}">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45" authorId="0" shapeId="0" xr:uid="{6D580693-E345-415B-9AB2-60C83A1A3184}">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45" authorId="0" shapeId="0" xr:uid="{9E5AED2B-CB9F-4027-A611-CC01C6761849}">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46" authorId="0" shapeId="0" xr:uid="{22CF00AD-69E6-4825-8105-03FF156C0DE9}">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46" authorId="0" shapeId="0" xr:uid="{4268D2BA-477A-4142-AEBA-AD61A591CFE4}">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46" authorId="0" shapeId="0" xr:uid="{95558783-B22F-45C2-AFA1-235299BF5DBE}">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46" authorId="0" shapeId="0" xr:uid="{9A4C03A4-F362-4968-B9E9-D674DE93B8D6}">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46" authorId="0" shapeId="0" xr:uid="{C70AEE2B-D812-4B60-B019-A9252D4D7C9F}">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47" authorId="0" shapeId="0" xr:uid="{C72F3629-E367-429E-91FA-FF01D39231C6}">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C147" authorId="0" shapeId="0" xr:uid="{FA03137C-20E7-4E17-B2AC-F92A4880F979}">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D147" authorId="0" shapeId="0" xr:uid="{F0E715D6-C1FB-4DD4-B769-64253488C629}">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E147" authorId="0" shapeId="0" xr:uid="{47D34E3A-9125-49A1-AB7B-D3411960057F}">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F147" authorId="0" shapeId="0" xr:uid="{AADAE0AF-ACBA-4C89-9659-8041C33D48CD}">
      <text>
        <r>
          <rPr>
            <b/>
            <sz val="9"/>
            <color indexed="81"/>
            <rFont val="Tahoma"/>
            <charset val="1"/>
          </rPr>
          <t>Rifat Tahmid:</t>
        </r>
        <r>
          <rPr>
            <sz val="9"/>
            <color indexed="81"/>
            <rFont val="Tahoma"/>
            <charset val="1"/>
          </rPr>
          <t xml:space="preserve">
Source: Anthropic, PBC Form S-1 (filed 26-Oct-2026), Consolidated Statements of Cash Flows, https://www.sec.gov/Archives/edgar/data/2130357/000162828026067168/anthropicpbc-sx1.htm</t>
        </r>
      </text>
    </comment>
    <comment ref="B153" authorId="0" shapeId="0" xr:uid="{51B9EF6A-0C05-490D-82B4-03BA95CFE260}">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C153" authorId="0" shapeId="0" xr:uid="{64EB96B3-668F-4F02-BCD4-BE96B8CB9AD0}">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D153" authorId="0" shapeId="0" xr:uid="{9E50A501-5B85-4A66-BC97-C2C59216B976}">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B154" authorId="0" shapeId="0" xr:uid="{43B5979E-EC48-4F93-AD8E-08DF3BC0C410}">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C154" authorId="0" shapeId="0" xr:uid="{865779BA-7F55-4A47-AAC8-B89C80002D10}">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D154" authorId="0" shapeId="0" xr:uid="{BB2D82A1-720D-4397-BE94-A51640DE14FA}">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B155" authorId="0" shapeId="0" xr:uid="{09B147D4-DC07-436F-8A58-B9FAC7A95FD3}">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C155" authorId="0" shapeId="0" xr:uid="{4B6368FE-E762-4961-BF01-E0B5B37E9B51}">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D155" authorId="0" shapeId="0" xr:uid="{CFD1BD46-055B-4155-B013-8F80930454DE}">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B156" authorId="0" shapeId="0" xr:uid="{C9228F34-BBF6-4499-8D7C-857AE374773C}">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C156" authorId="0" shapeId="0" xr:uid="{9FA9FA03-A312-45CA-AE66-B4235B71E3FD}">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D156" authorId="0" shapeId="0" xr:uid="{6FBC0E38-9421-4819-BE35-22B1CE41B448}">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B157" authorId="0" shapeId="0" xr:uid="{E2C2B38B-D03A-4635-941F-815A33C0D3D3}">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C157" authorId="0" shapeId="0" xr:uid="{A0427B0F-3693-4C94-B1C1-C58A6DEAB1B8}">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D157" authorId="0" shapeId="0" xr:uid="{7B3817E8-65A8-4C3E-8BA5-9AB9992E3451}">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B158" authorId="0" shapeId="0" xr:uid="{1A642C21-E98B-44A6-8B96-B842C243C4F4}">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C158" authorId="0" shapeId="0" xr:uid="{9600B73A-9CFC-466D-9993-27792706BAB3}">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D158" authorId="0" shapeId="0" xr:uid="{8B93F455-A787-4112-B0AF-98E8EED063B1}">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B159" authorId="0" shapeId="0" xr:uid="{2F4059EB-3B42-4CE4-93A1-E1C0F3882C55}">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C159" authorId="0" shapeId="0" xr:uid="{225E73F7-ED4F-44F8-AE5A-A18653A2F691}">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D159" authorId="0" shapeId="0" xr:uid="{16111BC3-53DA-493A-8B83-195576BF8250}">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C160" authorId="0" shapeId="0" xr:uid="{2C84FD79-737A-4297-8AA1-5DD1CD064844}">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C161" authorId="0" shapeId="0" xr:uid="{89029FA0-245F-4644-879B-B86A1678BFC8}">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C162" authorId="0" shapeId="0" xr:uid="{6E54653A-9C45-4301-8949-E4DE914C0AFF}">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D163" authorId="0" shapeId="0" xr:uid="{2235F618-7699-4105-96E5-D65B9314351E}">
      <text>
        <r>
          <rPr>
            <b/>
            <sz val="9"/>
            <color indexed="81"/>
            <rFont val="Tahoma"/>
            <charset val="1"/>
          </rPr>
          <t>Rifat Tahmid:</t>
        </r>
        <r>
          <rPr>
            <sz val="9"/>
            <color indexed="81"/>
            <rFont val="Tahoma"/>
            <charset val="1"/>
          </rPr>
          <t xml:space="preserve">
Source: Anthropic, PBC Form S-1 (filed 26-Oct-2026), Notes 6/11 and Risk Factors (indebtedness), https://www.sec.gov/Archives/edgar/data/2130357/000162828026067168/anthropicpbc-sx1.htm</t>
        </r>
      </text>
    </comment>
    <comment ref="B168" authorId="0" shapeId="0" xr:uid="{690746A7-77D5-4FA8-98E4-22052135BF95}">
      <text>
        <r>
          <rPr>
            <b/>
            <sz val="9"/>
            <color indexed="81"/>
            <rFont val="Tahoma"/>
            <charset val="1"/>
          </rPr>
          <t>Rifat Tahmid:</t>
        </r>
        <r>
          <rPr>
            <sz val="9"/>
            <color indexed="81"/>
            <rFont val="Tahoma"/>
            <charset val="1"/>
          </rPr>
          <t xml:space="preserve">
Source: Anthropic, PBC Form S-1 (filed 26-Oct-2026), Prospectus Summary / MD&amp;A key metrics, https://www.sec.gov/Archives/edgar/data/2130357/000162828026067168/anthropicpbc-sx1.htm</t>
        </r>
      </text>
    </comment>
    <comment ref="D168" authorId="0" shapeId="0" xr:uid="{CE73EA55-5D7E-4BF3-8234-C99BF9AC3A27}">
      <text>
        <r>
          <rPr>
            <b/>
            <sz val="9"/>
            <color indexed="81"/>
            <rFont val="Tahoma"/>
            <charset val="1"/>
          </rPr>
          <t>Rifat Tahmid:</t>
        </r>
        <r>
          <rPr>
            <sz val="9"/>
            <color indexed="81"/>
            <rFont val="Tahoma"/>
            <charset val="1"/>
          </rPr>
          <t xml:space="preserve">
Source: Anthropic, PBC Form S-1 (filed 26-Oct-2026), Prospectus Summary / MD&amp;A key metrics, https://www.sec.gov/Archives/edgar/data/2130357/000162828026067168/anthropicpbc-sx1.htm</t>
        </r>
      </text>
    </comment>
    <comment ref="E168" authorId="0" shapeId="0" xr:uid="{6AAC929A-B896-448C-A164-70BCACF786E8}">
      <text>
        <r>
          <rPr>
            <b/>
            <sz val="9"/>
            <color indexed="81"/>
            <rFont val="Tahoma"/>
            <charset val="1"/>
          </rPr>
          <t>Rifat Tahmid:</t>
        </r>
        <r>
          <rPr>
            <sz val="9"/>
            <color indexed="81"/>
            <rFont val="Tahoma"/>
            <charset val="1"/>
          </rPr>
          <t xml:space="preserve">
Source: Anthropic, PBC Form S-1 (filed 26-Oct-2026), Prospectus Summary / MD&amp;A key metrics, https://www.sec.gov/Archives/edgar/data/2130357/000162828026067168/anthropicpbc-sx1.htm</t>
        </r>
      </text>
    </comment>
    <comment ref="G168" authorId="0" shapeId="0" xr:uid="{130491F3-7591-46F8-8EA9-873D0D1A9214}">
      <text>
        <r>
          <rPr>
            <b/>
            <sz val="9"/>
            <color indexed="81"/>
            <rFont val="Tahoma"/>
            <charset val="1"/>
          </rPr>
          <t>Rifat Tahmid:</t>
        </r>
        <r>
          <rPr>
            <sz val="9"/>
            <color indexed="81"/>
            <rFont val="Tahoma"/>
            <charset val="1"/>
          </rPr>
          <t xml:space="preserve">
Source: Anthropic, PBC Form S-1 (filed 26-Oct-2026), Prospectus Summary / MD&amp;A key metrics, https://www.sec.gov/Archives/edgar/data/2130357/000162828026067168/anthropicpbc-sx1.htm</t>
        </r>
      </text>
    </comment>
    <comment ref="H168" authorId="0" shapeId="0" xr:uid="{10D655C8-F617-464D-ACCF-CE3095387932}">
      <text>
        <r>
          <rPr>
            <b/>
            <sz val="9"/>
            <color indexed="81"/>
            <rFont val="Tahoma"/>
            <charset val="1"/>
          </rPr>
          <t>Rifat Tahmid:</t>
        </r>
        <r>
          <rPr>
            <sz val="9"/>
            <color indexed="81"/>
            <rFont val="Tahoma"/>
            <charset val="1"/>
          </rPr>
          <t xml:space="preserve">
Source: Anthropic, PBC Form S-1 (filed 26-Oct-2026), Prospectus Summary / MD&amp;A key metrics, https://www.sec.gov/Archives/edgar/data/2130357/000162828026067168/anthropicpbc-sx1.htm</t>
        </r>
      </text>
    </comment>
    <comment ref="H169" authorId="0" shapeId="0" xr:uid="{937FB845-BD89-4F9C-96B8-7557666C0977}">
      <text>
        <r>
          <rPr>
            <b/>
            <sz val="9"/>
            <color indexed="81"/>
            <rFont val="Tahoma"/>
            <charset val="1"/>
          </rPr>
          <t>Rifat Tahmid:</t>
        </r>
        <r>
          <rPr>
            <sz val="9"/>
            <color indexed="81"/>
            <rFont val="Tahoma"/>
            <charset val="1"/>
          </rPr>
          <t xml:space="preserve">
Source: Anthropic, PBC Form S-1 (filed 26-Oct-2026), Prospectus Summary / MD&amp;A key metrics, https://www.sec.gov/Archives/edgar/data/2130357/000162828026067168/anthropicpbc-sx1.htm</t>
        </r>
      </text>
    </comment>
    <comment ref="H170" authorId="0" shapeId="0" xr:uid="{CCE23649-2EC2-4B1A-BF7C-25C0F55BFE44}">
      <text>
        <r>
          <rPr>
            <b/>
            <sz val="9"/>
            <color indexed="81"/>
            <rFont val="Tahoma"/>
            <charset val="1"/>
          </rPr>
          <t>Rifat Tahmid:</t>
        </r>
        <r>
          <rPr>
            <sz val="9"/>
            <color indexed="81"/>
            <rFont val="Tahoma"/>
            <charset val="1"/>
          </rPr>
          <t xml:space="preserve">
Source: Anthropic, PBC Form S-1 (filed 26-Oct-2026), Prospectus Summary / MD&amp;A key metrics, https://www.sec.gov/Archives/edgar/data/2130357/000162828026067168/anthropicpbc-sx1.htm</t>
        </r>
      </text>
    </comment>
    <comment ref="H171" authorId="0" shapeId="0" xr:uid="{FA765057-2348-4343-83AB-F305410E4818}">
      <text>
        <r>
          <rPr>
            <b/>
            <sz val="9"/>
            <color indexed="81"/>
            <rFont val="Tahoma"/>
            <charset val="1"/>
          </rPr>
          <t>Rifat Tahmid:</t>
        </r>
        <r>
          <rPr>
            <sz val="9"/>
            <color indexed="81"/>
            <rFont val="Tahoma"/>
            <charset val="1"/>
          </rPr>
          <t xml:space="preserve">
Source: Anthropic, PBC Form S-1 (filed 26-Oct-2026), Prospectus Summary / MD&amp;A key metrics, https://www.sec.gov/Archives/edgar/data/2130357/000162828026067168/anthropicpbc-sx1.htm</t>
        </r>
      </text>
    </comment>
    <comment ref="H172" authorId="0" shapeId="0" xr:uid="{9DAFEB54-663D-4FBB-A78E-8A4E55C8BFCA}">
      <text>
        <r>
          <rPr>
            <b/>
            <sz val="9"/>
            <color indexed="81"/>
            <rFont val="Tahoma"/>
            <charset val="1"/>
          </rPr>
          <t>Rifat Tahmid:</t>
        </r>
        <r>
          <rPr>
            <sz val="9"/>
            <color indexed="81"/>
            <rFont val="Tahoma"/>
            <charset val="1"/>
          </rPr>
          <t xml:space="preserve">
Source: Anthropic, PBC Form S-1 (filed 26-Oct-2026), Prospectus Summary / MD&amp;A key metrics, https://www.sec.gov/Archives/edgar/data/2130357/000162828026067168/anthropicpbc-sx1.htm</t>
        </r>
      </text>
    </comment>
    <comment ref="D173" authorId="0" shapeId="0" xr:uid="{8AC5A148-FC8E-49A7-93BB-836896A719ED}">
      <text>
        <r>
          <rPr>
            <b/>
            <sz val="9"/>
            <color indexed="81"/>
            <rFont val="Tahoma"/>
            <charset val="1"/>
          </rPr>
          <t>Rifat Tahmid:</t>
        </r>
        <r>
          <rPr>
            <sz val="9"/>
            <color indexed="81"/>
            <rFont val="Tahoma"/>
            <charset val="1"/>
          </rPr>
          <t xml:space="preserve">
Source: Anthropic, PBC Form S-1 (filed 26-Oct-2026), Prospectus Summary / MD&amp;A key metrics, https://www.sec.gov/Archives/edgar/data/2130357/000162828026067168/anthropicpbc-sx1.htm</t>
        </r>
      </text>
    </comment>
    <comment ref="H173" authorId="0" shapeId="0" xr:uid="{FC4C4948-5243-450F-AAB2-353467CA54C0}">
      <text>
        <r>
          <rPr>
            <b/>
            <sz val="9"/>
            <color indexed="81"/>
            <rFont val="Tahoma"/>
            <charset val="1"/>
          </rPr>
          <t>Rifat Tahmid:</t>
        </r>
        <r>
          <rPr>
            <sz val="9"/>
            <color indexed="81"/>
            <rFont val="Tahoma"/>
            <charset val="1"/>
          </rPr>
          <t xml:space="preserve">
Source: Anthropic, PBC Form S-1 (filed 26-Oct-2026), Prospectus Summary / MD&amp;A key metrics, https://www.sec.gov/Archives/edgar/data/2130357/000162828026067168/anthropicpbc-sx1.htm</t>
        </r>
      </text>
    </comment>
    <comment ref="B178" authorId="0" shapeId="0" xr:uid="{1160255A-38E3-44C6-8E7D-354C1F599A67}">
      <text>
        <r>
          <rPr>
            <b/>
            <sz val="9"/>
            <color indexed="81"/>
            <rFont val="Tahoma"/>
            <charset val="1"/>
          </rPr>
          <t>Rifat Tahmid:</t>
        </r>
        <r>
          <rPr>
            <sz val="9"/>
            <color indexed="81"/>
            <rFont val="Tahoma"/>
            <charset val="1"/>
          </rPr>
          <t xml:space="preserve">
Source: Anthropic, PBC Form S-1 (filed 26-Oct-2026), Certain Relationships and Related Party Transactions, https://www.sec.gov/Archives/edgar/data/2130357/000162828026067168/anthropicpbc-sx1.htm</t>
        </r>
      </text>
    </comment>
    <comment ref="C178" authorId="0" shapeId="0" xr:uid="{9B9046CA-A01F-45F7-A5B1-68C75F6F766B}">
      <text>
        <r>
          <rPr>
            <b/>
            <sz val="9"/>
            <color indexed="81"/>
            <rFont val="Tahoma"/>
            <charset val="1"/>
          </rPr>
          <t>Rifat Tahmid:</t>
        </r>
        <r>
          <rPr>
            <sz val="9"/>
            <color indexed="81"/>
            <rFont val="Tahoma"/>
            <charset val="1"/>
          </rPr>
          <t xml:space="preserve">
Source: Anthropic, PBC Form S-1 (filed 26-Oct-2026), Certain Relationships and Related Party Transactions, https://www.sec.gov/Archives/edgar/data/2130357/000162828026067168/anthropicpbc-sx1.htm</t>
        </r>
      </text>
    </comment>
    <comment ref="D178" authorId="0" shapeId="0" xr:uid="{5FDBEF41-4281-4EFA-B6B4-F9B233932E12}">
      <text>
        <r>
          <rPr>
            <b/>
            <sz val="9"/>
            <color indexed="81"/>
            <rFont val="Tahoma"/>
            <charset val="1"/>
          </rPr>
          <t>Rifat Tahmid:</t>
        </r>
        <r>
          <rPr>
            <sz val="9"/>
            <color indexed="81"/>
            <rFont val="Tahoma"/>
            <charset val="1"/>
          </rPr>
          <t xml:space="preserve">
Source: Anthropic, PBC Form S-1 (filed 26-Oct-2026), Certain Relationships and Related Party Transactions, https://www.sec.gov/Archives/edgar/data/2130357/000162828026067168/anthropicpbc-sx1.htm</t>
        </r>
      </text>
    </comment>
    <comment ref="B179" authorId="0" shapeId="0" xr:uid="{F4E2578C-C66E-412A-8ECA-36E3E4390431}">
      <text>
        <r>
          <rPr>
            <b/>
            <sz val="9"/>
            <color indexed="81"/>
            <rFont val="Tahoma"/>
            <charset val="1"/>
          </rPr>
          <t>Rifat Tahmid:</t>
        </r>
        <r>
          <rPr>
            <sz val="9"/>
            <color indexed="81"/>
            <rFont val="Tahoma"/>
            <charset val="1"/>
          </rPr>
          <t xml:space="preserve">
Source: Anthropic, PBC Form S-1 (filed 26-Oct-2026), Certain Relationships and Related Party Transactions, https://www.sec.gov/Archives/edgar/data/2130357/000162828026067168/anthropicpbc-sx1.htm</t>
        </r>
      </text>
    </comment>
    <comment ref="C179" authorId="0" shapeId="0" xr:uid="{C69DBD6D-AF82-43F8-8154-3FB05676C2CA}">
      <text>
        <r>
          <rPr>
            <b/>
            <sz val="9"/>
            <color indexed="81"/>
            <rFont val="Tahoma"/>
            <charset val="1"/>
          </rPr>
          <t>Rifat Tahmid:</t>
        </r>
        <r>
          <rPr>
            <sz val="9"/>
            <color indexed="81"/>
            <rFont val="Tahoma"/>
            <charset val="1"/>
          </rPr>
          <t xml:space="preserve">
Source: Anthropic, PBC Form S-1 (filed 26-Oct-2026), Certain Relationships and Related Party Transactions, https://www.sec.gov/Archives/edgar/data/2130357/000162828026067168/anthropicpbc-sx1.htm</t>
        </r>
      </text>
    </comment>
    <comment ref="D179" authorId="0" shapeId="0" xr:uid="{D5A01788-AF70-4BD0-BC53-1CC8A76325A9}">
      <text>
        <r>
          <rPr>
            <b/>
            <sz val="9"/>
            <color indexed="81"/>
            <rFont val="Tahoma"/>
            <charset val="1"/>
          </rPr>
          <t>Rifat Tahmid:</t>
        </r>
        <r>
          <rPr>
            <sz val="9"/>
            <color indexed="81"/>
            <rFont val="Tahoma"/>
            <charset val="1"/>
          </rPr>
          <t xml:space="preserve">
Source: Anthropic, PBC Form S-1 (filed 26-Oct-2026), Certain Relationships and Related Party Transactions, https://www.sec.gov/Archives/edgar/data/2130357/000162828026067168/anthropicpbc-sx1.htm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<sst xmlns="http://schemas.openxmlformats.org/spreadsheetml/2006/main" count="1749" uniqueCount="933">
  <si>
    <t>Source: Form S-1 filed 26-Oct-2026 (SEC EDGAR)  |  $ in Millions, shares in thousands  |  Append each new 10-Q / 10-K in the next open column – never overwrite prior periods</t>
  </si>
  <si>
    <t>Line items mirror the S-1 exactly. If a future filing adds a line item, insert a new row inside the relevant block. Blank columns = awaiting filing. Blue = as-reported input; black = check / derived.</t>
  </si>
  <si>
    <t xml:space="preserve">  CONSOLIDATED STATEMENTS OF OPERATIONS  –  ANNUAL &amp; YEAR-TO-DATE  ($ in Millions)</t>
  </si>
  <si>
    <t xml:space="preserve">  (in millions, except per share)</t>
  </si>
  <si>
    <t>FY2023A</t>
  </si>
  <si>
    <t>FY2024A</t>
  </si>
  <si>
    <t>FY2025A</t>
  </si>
  <si>
    <t>6M 2025A</t>
  </si>
  <si>
    <t>6M 2026A</t>
  </si>
  <si>
    <t>9M 2026A</t>
  </si>
  <si>
    <t>FY2026A</t>
  </si>
  <si>
    <t>3M 2027A</t>
  </si>
  <si>
    <t>6M 2027A</t>
  </si>
  <si>
    <t>9M 2027A</t>
  </si>
  <si>
    <t>Revenue</t>
  </si>
  <si>
    <t>Operating expenses:</t>
  </si>
  <si>
    <t xml:space="preserve">  Compute and infrastructure</t>
  </si>
  <si>
    <t xml:space="preserve">  Personnel</t>
  </si>
  <si>
    <t xml:space="preserve">  Bartz settlement</t>
  </si>
  <si>
    <t xml:space="preserve">  Sales, marketing, and partnerships</t>
  </si>
  <si>
    <t xml:space="preserve">  Other operating and administrative</t>
  </si>
  <si>
    <t>Total operating expenses</t>
  </si>
  <si>
    <t>Operating income (loss)</t>
  </si>
  <si>
    <t xml:space="preserve">  Interest income</t>
  </si>
  <si>
    <t xml:space="preserve">  Change in fair value of convertible notes, derivative liabilities, and SAFEs</t>
  </si>
  <si>
    <t xml:space="preserve">  Other income (expense), net</t>
  </si>
  <si>
    <t>Total other income (expense), net</t>
  </si>
  <si>
    <t>Loss before provision for income taxes</t>
  </si>
  <si>
    <t xml:space="preserve">  Provision for income taxes</t>
  </si>
  <si>
    <t>Net loss</t>
  </si>
  <si>
    <t>Net loss per share, basic and diluted ($)</t>
  </si>
  <si>
    <t>Weighted-average shares outstanding, basic and diluted (000s)</t>
  </si>
  <si>
    <t xml:space="preserve">  Memo: Stock-based compensation (per cash flow statement)</t>
  </si>
  <si>
    <t xml:space="preserve">  Memo: Depreciation and amortization (per cash flow statement)</t>
  </si>
  <si>
    <t>Adjusted Operating Income (Loss) – non-GAAP</t>
  </si>
  <si>
    <t>Adjusted Net Income (Loss) – non-GAAP</t>
  </si>
  <si>
    <t xml:space="preserve">  Check: opex foots / op. income foots (should be 0)</t>
  </si>
  <si>
    <t xml:space="preserve">  QUARTERLY CONSOLIDATED STATEMENTS OF OPERATIONS  –  unaudited  ($ in Millions)</t>
  </si>
  <si>
    <t xml:space="preserve">  (in millions)  –  three months ended</t>
  </si>
  <si>
    <t>Q1 2025A</t>
  </si>
  <si>
    <t>Q2 2025A</t>
  </si>
  <si>
    <t>Q3 2025A</t>
  </si>
  <si>
    <t>Q4 2025A</t>
  </si>
  <si>
    <t>Q1 2026A</t>
  </si>
  <si>
    <t>Q2 2026A</t>
  </si>
  <si>
    <t>Q3 2026A</t>
  </si>
  <si>
    <t>Q4 2026A</t>
  </si>
  <si>
    <t>Q1 2027A</t>
  </si>
  <si>
    <t>Q2 2027A</t>
  </si>
  <si>
    <t>Q3 2027A</t>
  </si>
  <si>
    <t>Q4 2027A</t>
  </si>
  <si>
    <t>Reconciliation to Adjusted Operating Income (Loss) – non-GAAP</t>
  </si>
  <si>
    <t xml:space="preserve">  Stock-based compensation expense</t>
  </si>
  <si>
    <t xml:space="preserve">  Non-cash charitable contributions</t>
  </si>
  <si>
    <t>Adjusted Operating Income (Loss)</t>
  </si>
  <si>
    <t xml:space="preserve">  Adjusted Operating Margin</t>
  </si>
  <si>
    <t>Reconciliation to Adjusted Net Income (Loss) – non-GAAP</t>
  </si>
  <si>
    <t xml:space="preserve">  Change in fair value of certain mark-to-market financial instruments</t>
  </si>
  <si>
    <t>Adjusted Net Income (Loss)</t>
  </si>
  <si>
    <t xml:space="preserve">  Check: opex / op. income / Adj. OI foot (should be 0)</t>
  </si>
  <si>
    <t xml:space="preserve">  Check: Adj. Net Income foots (should be 0)</t>
  </si>
  <si>
    <t xml:space="preserve">  REVENUE DISAGGREGATION &amp; BACKLOG  (Note 2)  ($ in Millions)</t>
  </si>
  <si>
    <t xml:space="preserve">  By geography (billing address) / by pricing model</t>
  </si>
  <si>
    <t xml:space="preserve">  United States</t>
  </si>
  <si>
    <t xml:space="preserve">  International</t>
  </si>
  <si>
    <t>Total revenue – by geography</t>
  </si>
  <si>
    <t xml:space="preserve">  Consumption-based (pay-for-intelligence: API / platform / usage)</t>
  </si>
  <si>
    <t xml:space="preserve">  Subscription-based (Pro / Max / Team / Enterprise seats)</t>
  </si>
  <si>
    <t>Total revenue – by pricing model</t>
  </si>
  <si>
    <t xml:space="preserve">  Remaining performance obligations (period end)</t>
  </si>
  <si>
    <t xml:space="preserve">  % of RPO expected to be recognised in next 12 months</t>
  </si>
  <si>
    <t xml:space="preserve">  Check: disaggregation ties to reported revenue (should be 0)</t>
  </si>
  <si>
    <t xml:space="preserve">  CONSOLIDATED BALANCE SHEETS  ($ in Millions; shares in thousands)</t>
  </si>
  <si>
    <t xml:space="preserve">  As of</t>
  </si>
  <si>
    <t>Dec 2024A</t>
  </si>
  <si>
    <t>Dec 2025A</t>
  </si>
  <si>
    <t>Jun 2026A</t>
  </si>
  <si>
    <t>Sep 2026A</t>
  </si>
  <si>
    <t>Dec 2026A</t>
  </si>
  <si>
    <t>Mar 2027A</t>
  </si>
  <si>
    <t>Jun 2027A</t>
  </si>
  <si>
    <t>Sep 2027A</t>
  </si>
  <si>
    <t>Dec 2027A</t>
  </si>
  <si>
    <t>Current assets:</t>
  </si>
  <si>
    <t xml:space="preserve">  Cash and cash equivalents</t>
  </si>
  <si>
    <t xml:space="preserve">  Short-term investments</t>
  </si>
  <si>
    <t xml:space="preserve">  Accounts receivable, net</t>
  </si>
  <si>
    <t xml:space="preserve">  Prepaid expenses and other current assets</t>
  </si>
  <si>
    <t>Total current assets</t>
  </si>
  <si>
    <t>Restricted cash</t>
  </si>
  <si>
    <t>Property and equipment, net</t>
  </si>
  <si>
    <t>Operating lease right-of-use assets</t>
  </si>
  <si>
    <t>Goodwill</t>
  </si>
  <si>
    <t>Other assets, noncurrent</t>
  </si>
  <si>
    <t>Total assets</t>
  </si>
  <si>
    <t xml:space="preserve">  Accounts payable, accrued expenses, and other current liabilities</t>
  </si>
  <si>
    <t xml:space="preserve">  Operating lease liabilities, current</t>
  </si>
  <si>
    <t xml:space="preserve">  Deferred revenue</t>
  </si>
  <si>
    <t>Total current liabilities</t>
  </si>
  <si>
    <t>Operating lease liabilities, noncurrent</t>
  </si>
  <si>
    <t>Convertible notes payable (at fair value)</t>
  </si>
  <si>
    <t>Other noncurrent liabilities</t>
  </si>
  <si>
    <t>Total liabilities</t>
  </si>
  <si>
    <t>Redeemable convertible preferred stock</t>
  </si>
  <si>
    <t xml:space="preserve">  Additional paid-in capital</t>
  </si>
  <si>
    <t xml:space="preserve">  Accumulated other comprehensive income (loss)</t>
  </si>
  <si>
    <t xml:space="preserve">  Accumulated deficit</t>
  </si>
  <si>
    <t>Total stockholders’ deficit</t>
  </si>
  <si>
    <t>Total liabilities, redeemable convertible preferred stock, and stockholders’ deficit</t>
  </si>
  <si>
    <t xml:space="preserve">  Redeemable convertible preferred shares outstanding (000s)</t>
  </si>
  <si>
    <t xml:space="preserve">  Class A common shares outstanding (000s)</t>
  </si>
  <si>
    <t xml:space="preserve">  Class N common shares outstanding (000s)</t>
  </si>
  <si>
    <t xml:space="preserve">  Check: assets − liabilities − preferred − equity (should be 0)</t>
  </si>
  <si>
    <t xml:space="preserve">  CONSOLIDATED STATEMENTS OF CASH FLOWS  ($ in Millions)</t>
  </si>
  <si>
    <t xml:space="preserve">  Period</t>
  </si>
  <si>
    <t>Adjustments to reconcile net loss to net cash from operating activities:</t>
  </si>
  <si>
    <t xml:space="preserve">  Depreciation and amortization</t>
  </si>
  <si>
    <t xml:space="preserve">  Donation matching program liability</t>
  </si>
  <si>
    <t xml:space="preserve">  Recognition and change in fair value of other financial instruments</t>
  </si>
  <si>
    <t xml:space="preserve">  Other</t>
  </si>
  <si>
    <t>Changes in operating assets and liabilities:</t>
  </si>
  <si>
    <t xml:space="preserve">  Prepaid expenses and other assets</t>
  </si>
  <si>
    <t xml:space="preserve">  Accounts payable, accrued expenses, and other liabilities</t>
  </si>
  <si>
    <t xml:space="preserve">  Lease liabilities</t>
  </si>
  <si>
    <t>Net cash provided by (used in) operating activities</t>
  </si>
  <si>
    <t>Cash flows from investing activities:</t>
  </si>
  <si>
    <t xml:space="preserve">  Purchases of property and equipment</t>
  </si>
  <si>
    <t xml:space="preserve">  Purchases of short-term investments</t>
  </si>
  <si>
    <t xml:space="preserve">  Sales and maturities of short-term investments</t>
  </si>
  <si>
    <t xml:space="preserve">  Other investing activities</t>
  </si>
  <si>
    <t>Net cash used in investing activities</t>
  </si>
  <si>
    <t>Cash flows from financing activities:</t>
  </si>
  <si>
    <t xml:space="preserve">  Proceeds from issuance of redeemable convertible preferred stock, net</t>
  </si>
  <si>
    <t xml:space="preserve">  Principal payments for finance leases</t>
  </si>
  <si>
    <t xml:space="preserve">  Issuance of convertible notes for cash</t>
  </si>
  <si>
    <t xml:space="preserve">  Proceeds from issuance of common stock</t>
  </si>
  <si>
    <t xml:space="preserve">  Repurchase of common stock</t>
  </si>
  <si>
    <t xml:space="preserve">  Issuance of SAFEs for cash</t>
  </si>
  <si>
    <t xml:space="preserve">  Payment of deferred offering costs</t>
  </si>
  <si>
    <t>Net cash provided by financing activities</t>
  </si>
  <si>
    <t>Effect of exchange rate changes</t>
  </si>
  <si>
    <t>Net increase in cash, cash equivalents, and restricted cash</t>
  </si>
  <si>
    <t>Cash, cash equivalents, and restricted cash – beginning of period</t>
  </si>
  <si>
    <t>Cash, cash equivalents, and restricted cash – end of period</t>
  </si>
  <si>
    <t xml:space="preserve">  Memo: Free cash flow (operating cash flow − capex)</t>
  </si>
  <si>
    <t xml:space="preserve">  Check: CFO foots / cash roll-forward (should be 0)</t>
  </si>
  <si>
    <t xml:space="preserve">  SUPPLEMENTAL DISCLOSURES  –  PP&amp;E (Note 6), TAX ATTRIBUTES (Note 11), DEBT  ($ in Millions)</t>
  </si>
  <si>
    <t xml:space="preserve">  Leasehold improvements</t>
  </si>
  <si>
    <t xml:space="preserve">  Servers, networking, and infrastructure equipment</t>
  </si>
  <si>
    <t xml:space="preserve">  Construction in progress</t>
  </si>
  <si>
    <t xml:space="preserve">  Other assets</t>
  </si>
  <si>
    <t>Total property and equipment, gross</t>
  </si>
  <si>
    <t xml:space="preserve">  Less: accumulated depreciation</t>
  </si>
  <si>
    <t>Total property and equipment, net</t>
  </si>
  <si>
    <t xml:space="preserve">  U.S. federal NOL carryforwards (do not expire)</t>
  </si>
  <si>
    <t xml:space="preserve">  State NOL carryforwards (begin expiring 2033)</t>
  </si>
  <si>
    <t xml:space="preserve">  U.S. federal R&amp;D tax credit carryforwards</t>
  </si>
  <si>
    <t xml:space="preserve">  Total indebtedness – Amazon convertible notes, aggregate principal</t>
  </si>
  <si>
    <t xml:space="preserve">  Check: PP&amp;E foots (should be 0)</t>
  </si>
  <si>
    <t xml:space="preserve">  KEY OPERATING METRICS  (as disclosed; approximate where S-1 says “more than” / “approximately”)</t>
  </si>
  <si>
    <t xml:space="preserve">  As of quarter end</t>
  </si>
  <si>
    <t xml:space="preserve">  Customers with ≥$100K TTM revenue (#)</t>
  </si>
  <si>
    <t xml:space="preserve">  Customers with ≥$1M TTM revenue (#)</t>
  </si>
  <si>
    <t xml:space="preserve">  Customers with ≥$10M TTM revenue (#)</t>
  </si>
  <si>
    <t xml:space="preserve">  Net Revenue Retention (%)</t>
  </si>
  <si>
    <t xml:space="preserve">  Employees (approx., period end)</t>
  </si>
  <si>
    <t xml:space="preserve">  TTM revenue per employee ($M)</t>
  </si>
  <si>
    <t xml:space="preserve">  Implied TTM revenue (= employees × rev/employee) ($M)</t>
  </si>
  <si>
    <t xml:space="preserve">  EQUITY FINANCING REFERENCE  (Certain Relationships &amp; Related Party Transactions)</t>
  </si>
  <si>
    <t xml:space="preserve">  Round</t>
  </si>
  <si>
    <t>Price / Share</t>
  </si>
  <si>
    <t>Shares (000s)</t>
  </si>
  <si>
    <t>Gross ($M)</t>
  </si>
  <si>
    <t xml:space="preserve">  Series H-1 redeemable convertible preferred (May–Jun 2026)</t>
  </si>
  <si>
    <t xml:space="preserve">  Series G-1 redeemable convertible preferred (Jan–Feb 2026)</t>
  </si>
  <si>
    <t>All blue cells are analyst estimates (not company guidance) – revisit each quarter against the Actuals tab. Historical reference block below links live to Historicals.</t>
  </si>
  <si>
    <t xml:space="preserve">  HISTORICAL REFERENCE  (live links to Historicals – S-1 actuals)</t>
  </si>
  <si>
    <t xml:space="preserve">  Metric</t>
  </si>
  <si>
    <t>Revenue growth % (YoY)</t>
  </si>
  <si>
    <t>Subscription-based mix % of revenue</t>
  </si>
  <si>
    <t>International % of revenue</t>
  </si>
  <si>
    <t>Compute &amp; infrastructure % of revenue</t>
  </si>
  <si>
    <t>Personnel % of revenue</t>
  </si>
  <si>
    <t>Sales, marketing &amp; partnerships % of revenue</t>
  </si>
  <si>
    <t>Other operating &amp; admin % of revenue</t>
  </si>
  <si>
    <t>GAAP operating margin</t>
  </si>
  <si>
    <t>Adjusted operating margin (non-GAAP)</t>
  </si>
  <si>
    <t>SBC % of personnel expense</t>
  </si>
  <si>
    <t>Capex % of revenue</t>
  </si>
  <si>
    <t>D&amp;A % of revenue</t>
  </si>
  <si>
    <t xml:space="preserve">  Driver</t>
  </si>
  <si>
    <t>Unit</t>
  </si>
  <si>
    <t>FY2026E</t>
  </si>
  <si>
    <t>FY2027E</t>
  </si>
  <si>
    <t>FY2028E</t>
  </si>
  <si>
    <t>FY2029E</t>
  </si>
  <si>
    <t>FY2030E</t>
  </si>
  <si>
    <t>FY2031E</t>
  </si>
  <si>
    <t>FY2032E</t>
  </si>
  <si>
    <t>FY2033E</t>
  </si>
  <si>
    <t>FY2034E</t>
  </si>
  <si>
    <t>FY2035E</t>
  </si>
  <si>
    <t>FY2036E</t>
  </si>
  <si>
    <t>FY2037E</t>
  </si>
  <si>
    <t>FY2038E</t>
  </si>
  <si>
    <t>FY2039E</t>
  </si>
  <si>
    <t>FY2040E</t>
  </si>
  <si>
    <t xml:space="preserve">  BEAR CASE ASSUMPTIONS  (compute-cost overhang, slower diffusion, price competition)</t>
  </si>
  <si>
    <t>Q3 2026 revenue growth (QoQ, vs Q2 2026A)</t>
  </si>
  <si>
    <t>% QoQ</t>
  </si>
  <si>
    <t>Q4 2026 revenue growth (QoQ)</t>
  </si>
  <si>
    <t>Subscription-based mix % of FY2026E revenue</t>
  </si>
  <si>
    <t>% rev</t>
  </si>
  <si>
    <t>Consumption-based revenue growth (YoY)  – API / platform / pay-for-intelligence</t>
  </si>
  <si>
    <t>% YoY</t>
  </si>
  <si>
    <t>Subscription-based revenue growth (YoY)  – Pro / Max / Team / Enterprise</t>
  </si>
  <si>
    <t>Enterprise customers (≥$100K TTM) growth</t>
  </si>
  <si>
    <t>Enterprise customers (≥$100K TTM) share of revenue</t>
  </si>
  <si>
    <t>Inference / serving compute % of revenue</t>
  </si>
  <si>
    <t>Training &amp; research compute % of revenue</t>
  </si>
  <si>
    <t>Rental-equivalent compute cost per GW-year (CSP / lease)</t>
  </si>
  <si>
    <t>$M / GW-yr</t>
  </si>
  <si>
    <t>Accelerators per GW (GPU / TPU / Trainium equivalents)</t>
  </si>
  <si>
    <t>000s / GW</t>
  </si>
  <si>
    <t>Anthropic Direct (owned) share of new capacity</t>
  </si>
  <si>
    <t>% of ΔGW</t>
  </si>
  <si>
    <t>Capex per owned GW (accelerators + networking + fit-out)</t>
  </si>
  <si>
    <t>$M / GW</t>
  </si>
  <si>
    <t>Power &amp; operations cost per owned GW-year</t>
  </si>
  <si>
    <t>Owned accelerator useful life</t>
  </si>
  <si>
    <t>years</t>
  </si>
  <si>
    <t>Headcount – FY2026E period end</t>
  </si>
  <si>
    <t>#</t>
  </si>
  <si>
    <t>Headcount growth (YoY, period end)</t>
  </si>
  <si>
    <t>Fully-loaded personnel cost per average head – FY2026E (incl. SBC)</t>
  </si>
  <si>
    <t>$M / head</t>
  </si>
  <si>
    <t>Personnel cost per head growth</t>
  </si>
  <si>
    <t>% pers.</t>
  </si>
  <si>
    <t>Other operating &amp; administrative % of revenue</t>
  </si>
  <si>
    <t>Other (non-compute) capex % of revenue  – offices, DC shells, software</t>
  </si>
  <si>
    <t>Other D&amp;A % of revenue</t>
  </si>
  <si>
    <t>Δ Net working capital % of Δ revenue</t>
  </si>
  <si>
    <t>% Δrev</t>
  </si>
  <si>
    <t>Terminal growth rate (Gordon Growth)</t>
  </si>
  <si>
    <t>%</t>
  </si>
  <si>
    <t>Exit EV / EBITDA multiple (applied to FY2040E)</t>
  </si>
  <si>
    <t>x</t>
  </si>
  <si>
    <t>Scenario probability weight</t>
  </si>
  <si>
    <t xml:space="preserve">  BASE CASE ASSUMPTIONS  (decelerating hyper-growth, steady compute-efficiency gains)</t>
  </si>
  <si>
    <t xml:space="preserve">  BULL CASE ASSUMPTIONS  (agentic diffusion, Anthropic Direct cost advantage)</t>
  </si>
  <si>
    <t>CAPM / WACC (single-segment)  |  Fully diluted share bridge  |  Net cash bridge  |  $ in Millions, shares in millions</t>
  </si>
  <si>
    <t>Yellow = estimate pending IPO pricing / final prospectus (S-1 leaves price range, share count and offering size blank).</t>
  </si>
  <si>
    <t xml:space="preserve">  MACRO INPUTS</t>
  </si>
  <si>
    <t xml:space="preserve">  Item</t>
  </si>
  <si>
    <t>Value</t>
  </si>
  <si>
    <t>Note</t>
  </si>
  <si>
    <t>Risk-free rate (10Y US Treasury)</t>
  </si>
  <si>
    <t>US Treasury daily par yield curve, 23-Oct-2026</t>
  </si>
  <si>
    <t>Equity risk premium</t>
  </si>
  <si>
    <t>Analyst assumption (US implied ERP range 4.5–5.5%) – refresh quarterly</t>
  </si>
  <si>
    <t>Cash tax rate (21% federal + state, net)</t>
  </si>
  <si>
    <t>Analyst assumption; NOL shield modelled separately in DCF</t>
  </si>
  <si>
    <t>Company-specific risk premium</t>
  </si>
  <si>
    <t>New issue, PBC / Long-Term Benefit Trust governance, compute-commitment operating leverage</t>
  </si>
  <si>
    <t xml:space="preserve">  BETA, COST OF EQUITY &amp; WACC</t>
  </si>
  <si>
    <t>Comps median unlevered beta (Comps tab)</t>
  </si>
  <si>
    <t>Target debt / equity</t>
  </si>
  <si>
    <t>Net-cash balance sheet; minimal funded debt post note conversion</t>
  </si>
  <si>
    <t>Relevered beta</t>
  </si>
  <si>
    <t>βL = βU × (1 + (1 − t) × D/E)</t>
  </si>
  <si>
    <t>Cost of equity (CAPM)</t>
  </si>
  <si>
    <t>Ke = Rf + βL × ERP + specific premium</t>
  </si>
  <si>
    <t>Pre-tax cost of debt</t>
  </si>
  <si>
    <t>Reference: Infrastructure Partner 2026 NPA notes at 9.00% PIK (S-1, Liquidity)</t>
  </si>
  <si>
    <t>After-tax cost of debt</t>
  </si>
  <si>
    <t>Kd × (1 − t)</t>
  </si>
  <si>
    <t>Equity weight</t>
  </si>
  <si>
    <t>E / (D + E)</t>
  </si>
  <si>
    <t>Debt weight</t>
  </si>
  <si>
    <t>D / (D + E)</t>
  </si>
  <si>
    <t>WACC</t>
  </si>
  <si>
    <t>Applied to all three scenario engines</t>
  </si>
  <si>
    <t xml:space="preserve">  WACC SUMMARY BY SCENARIO  (referenced by DCF engines)</t>
  </si>
  <si>
    <t xml:space="preserve">  Scenario</t>
  </si>
  <si>
    <t>Terminal g</t>
  </si>
  <si>
    <t>Exit EV/EBITDA</t>
  </si>
  <si>
    <t>Probability</t>
  </si>
  <si>
    <t>Bear</t>
  </si>
  <si>
    <t>Base</t>
  </si>
  <si>
    <t>Bull</t>
  </si>
  <si>
    <t>Check: probabilities sum to 100%</t>
  </si>
  <si>
    <t xml:space="preserve">  CAPITALIZATION  –  FULLY DILUTED SHARES POST-IPO  (millions)</t>
  </si>
  <si>
    <t>Class A common outstanding (latest BS)</t>
  </si>
  <si>
    <t>Historicals BS, shares in thousands ÷ 1,000</t>
  </si>
  <si>
    <t>Class N common outstanding (latest BS)</t>
  </si>
  <si>
    <t>Donation Matching Plan shares</t>
  </si>
  <si>
    <t>Redeemable convertible preferred outstanding</t>
  </si>
  <si>
    <t>Preferred Stock Conversion at IPO</t>
  </si>
  <si>
    <t>Shares from Preferred Stock Conversion</t>
  </si>
  <si>
    <t>Convertible notes at fair value ($M)</t>
  </si>
  <si>
    <t>Amazon notes – Convertible Notes Conversion at IPO</t>
  </si>
  <si>
    <t>Shares from Convertible Notes Conversion (est.)</t>
  </si>
  <si>
    <t>Estimate – S-1 share count blank</t>
  </si>
  <si>
    <t>IPO price ($/share)</t>
  </si>
  <si>
    <t>Entered on Dashboard</t>
  </si>
  <si>
    <t>IPO primary gross proceeds ($M)</t>
  </si>
  <si>
    <t>Analyst placeholder – S-1 offering size blank</t>
  </si>
  <si>
    <t>Underwriting discount &amp; expenses (%)</t>
  </si>
  <si>
    <t>IPO net proceeds ($M)</t>
  </si>
  <si>
    <t>IPO primary shares issued</t>
  </si>
  <si>
    <t>Fully diluted shares post-IPO</t>
  </si>
  <si>
    <t>Denominator for implied value per share</t>
  </si>
  <si>
    <t xml:space="preserve">  NET CASH BRIDGE  ($M, latest balance sheet per Actuals!B7)</t>
  </si>
  <si>
    <t>Cash and cash equivalents</t>
  </si>
  <si>
    <t>Short-term investments</t>
  </si>
  <si>
    <t>(−) Funded debt not converting at IPO</t>
  </si>
  <si>
    <t>Amazon notes convert; no other funded debt disclosed</t>
  </si>
  <si>
    <t>(−) Finance leases / other debt-like items</t>
  </si>
  <si>
    <t>Add drawn Broadcom NPA / finance leases when disclosed</t>
  </si>
  <si>
    <t>(+) IPO net primary proceeds</t>
  </si>
  <si>
    <t>Net cash used in EV → equity bridge</t>
  </si>
  <si>
    <t>Restricted cash excluded</t>
  </si>
  <si>
    <t xml:space="preserve">  ① UPDATE CONTROLS  (change these after each 10-Q / 10-K – everything else re-points automatically)</t>
  </si>
  <si>
    <t>Latest YTD income statement / cash flow period (Historicals header)</t>
  </si>
  <si>
    <t>Months in latest YTD period</t>
  </si>
  <si>
    <t>Latest balance sheet (Historicals header)</t>
  </si>
  <si>
    <t>Latest balance sheet date</t>
  </si>
  <si>
    <t>Latest reported quarter (Historicals header)</t>
  </si>
  <si>
    <t>Entry / IPO price ($ per share)</t>
  </si>
  <si>
    <t xml:space="preserve">  SELECTED CASE ASSUMPTIONS  (auto-pulled from Drivers by scenario index in B5)</t>
  </si>
  <si>
    <t>Q3 2026 revenue growth (QoQ)</t>
  </si>
  <si>
    <t>Subscription mix % of FY2026E revenue</t>
  </si>
  <si>
    <t>Consumption-based revenue growth (YoY)</t>
  </si>
  <si>
    <t>Subscription-based revenue growth (YoY)</t>
  </si>
  <si>
    <t>Enterprise customers (≥$100K) growth</t>
  </si>
  <si>
    <t>Enterprise (≥$100K) share of revenue</t>
  </si>
  <si>
    <t>Rental-equivalent compute cost per GW-year ($M)</t>
  </si>
  <si>
    <t>Accelerators per GW (000s)</t>
  </si>
  <si>
    <t>Anthropic Direct share of new capacity</t>
  </si>
  <si>
    <t>Capex per owned GW ($M)</t>
  </si>
  <si>
    <t>Power &amp; ops cost per owned GW-year ($M)</t>
  </si>
  <si>
    <t>Owned accelerator useful life (years)</t>
  </si>
  <si>
    <t>Headcount growth (YoY)</t>
  </si>
  <si>
    <t>Personnel cost per head – FY2026E ($M)</t>
  </si>
  <si>
    <t>SBC % of personnel</t>
  </si>
  <si>
    <t>Other (non-compute) capex % of revenue</t>
  </si>
  <si>
    <t>ΔNWC % of Δrevenue</t>
  </si>
  <si>
    <t>Terminal growth rate</t>
  </si>
  <si>
    <t>Exit EV / EBITDA multiple</t>
  </si>
  <si>
    <t>WACC (WACC tab)</t>
  </si>
  <si>
    <t>Cash tax rate</t>
  </si>
  <si>
    <t xml:space="preserve">  FY2026 YEAR-TO-DATE ACTUALS  (Historicals column named in Actuals!B5 – re-points automatically)</t>
  </si>
  <si>
    <t>YTD revenue</t>
  </si>
  <si>
    <t>YTD compute &amp; infrastructure</t>
  </si>
  <si>
    <t>YTD personnel</t>
  </si>
  <si>
    <t>YTD sales, marketing &amp; partnerships</t>
  </si>
  <si>
    <t>YTD other operating &amp; administrative</t>
  </si>
  <si>
    <t>YTD stock-based compensation</t>
  </si>
  <si>
    <t>YTD depreciation &amp; amortization</t>
  </si>
  <si>
    <t>YTD fraction of fiscal year</t>
  </si>
  <si>
    <t>Remaining FY2026E revenue (full year − YTD)</t>
  </si>
  <si>
    <t xml:space="preserve">  FY2026E QUARTERLY REVENUE BUILD  (reported quarters override estimates)</t>
  </si>
  <si>
    <t xml:space="preserve">  Quarter</t>
  </si>
  <si>
    <t>Q1 2026</t>
  </si>
  <si>
    <t>Q2 2026</t>
  </si>
  <si>
    <t>Q3 2026</t>
  </si>
  <si>
    <t>Q4 2026</t>
  </si>
  <si>
    <t>Reported revenue (Historicals)</t>
  </si>
  <si>
    <t>QoQ growth (actual if reported, else driver)</t>
  </si>
  <si>
    <t>Revenue – selected</t>
  </si>
  <si>
    <t>Status</t>
  </si>
  <si>
    <t>Annualised revenue run-rate (quarter × 4)</t>
  </si>
  <si>
    <t xml:space="preserve">  REVENUE BUILD  –  by pricing model, geography and customer cohort  ($M)</t>
  </si>
  <si>
    <t>Consumption-based revenue (API / platform / pay-for-intelligence)</t>
  </si>
  <si>
    <t>Subscription-based revenue (Pro / Max / Team / Enterprise)</t>
  </si>
  <si>
    <t>Total Revenue</t>
  </si>
  <si>
    <t xml:space="preserve">  % YoY growth</t>
  </si>
  <si>
    <t xml:space="preserve">  Subscription mix %</t>
  </si>
  <si>
    <t>United States revenue</t>
  </si>
  <si>
    <t>International revenue</t>
  </si>
  <si>
    <t>Enterprise customers ≥$100K TTM (period end, #)</t>
  </si>
  <si>
    <t>Enterprise cohort revenue (≥$100K customers)</t>
  </si>
  <si>
    <t xml:space="preserve">  Avg revenue per enterprise customer ($M)</t>
  </si>
  <si>
    <t>Long-tail revenue (&lt;$100K customers)</t>
  </si>
  <si>
    <t xml:space="preserve">  COMPUTE &amp; GPU CAPACITY BUILD  –  inference vs training, GW, accelerators, owned vs rented</t>
  </si>
  <si>
    <t>Inference / serving compute need ($M, rental-equivalent)</t>
  </si>
  <si>
    <t>Training &amp; research compute need ($M, rental-equivalent)</t>
  </si>
  <si>
    <t>Total compute need ($M)  [hist = reported compute &amp; infra]</t>
  </si>
  <si>
    <t xml:space="preserve">  Compute need % of revenue</t>
  </si>
  <si>
    <t>Total compute capacity in service (GW)</t>
  </si>
  <si>
    <t>Accelerators in service (000s, GPU / TPU / Trainium equiv.)</t>
  </si>
  <si>
    <t>Owned (Anthropic Direct) capacity – opening (GW)</t>
  </si>
  <si>
    <t>Total capacity additions (GW)</t>
  </si>
  <si>
    <t>Owned capacity additions (GW)</t>
  </si>
  <si>
    <t>Owned capacity – closing (GW)</t>
  </si>
  <si>
    <t xml:space="preserve">  Owned share of total fleet</t>
  </si>
  <si>
    <t>Rented capacity – CSP / leased (GW)</t>
  </si>
  <si>
    <t>Owned accelerators (000s)</t>
  </si>
  <si>
    <t>Rented compute expense ($M)</t>
  </si>
  <si>
    <t>Owned-fleet power &amp; operations expense ($M)</t>
  </si>
  <si>
    <t>Owned-fleet depreciation ($M)</t>
  </si>
  <si>
    <t>Compute capex – growth + replacement ($M)</t>
  </si>
  <si>
    <t xml:space="preserve">  Memo: owned-fleet saving vs renting ($M)</t>
  </si>
  <si>
    <t xml:space="preserve">  PERSONNEL &amp; OPERATING EXPENSE BUILD  ($M)</t>
  </si>
  <si>
    <t>Headcount – period end (#)</t>
  </si>
  <si>
    <t>Average headcount (#)</t>
  </si>
  <si>
    <t>Fully-loaded personnel cost per head ($M)</t>
  </si>
  <si>
    <t>Personnel expense (incl. SBC)</t>
  </si>
  <si>
    <t xml:space="preserve">  of which: stock-based compensation</t>
  </si>
  <si>
    <t xml:space="preserve">  of which: cash personnel</t>
  </si>
  <si>
    <t>Sales, marketing &amp; partnerships</t>
  </si>
  <si>
    <t>Other operating &amp; administrative</t>
  </si>
  <si>
    <t xml:space="preserve">  Revenue per average employee ($M)</t>
  </si>
  <si>
    <t xml:space="preserve">  INCOME STATEMENT  ($M)  –  opex shown ex-D&amp;A in forecast; S-1 actuals embed immaterial D&amp;A</t>
  </si>
  <si>
    <t xml:space="preserve">  Compute &amp; infrastructure (rented + owned-fleet power)</t>
  </si>
  <si>
    <t xml:space="preserve">  Sales, marketing &amp; partnerships</t>
  </si>
  <si>
    <t xml:space="preserve">  Other operating &amp; administrative</t>
  </si>
  <si>
    <t xml:space="preserve">  Non-recurring (Bartz settlement)</t>
  </si>
  <si>
    <t>EBITDA</t>
  </si>
  <si>
    <t xml:space="preserve">  EBITDA margin %</t>
  </si>
  <si>
    <t>Adjusted EBITDA (ex-SBC, ex-non-recurring)</t>
  </si>
  <si>
    <t xml:space="preserve">  Adjusted EBITDA margin %</t>
  </si>
  <si>
    <t xml:space="preserve">  (−) Depreciation &amp; amortization (owned fleet + other)</t>
  </si>
  <si>
    <t>EBIT (Operating income)</t>
  </si>
  <si>
    <t xml:space="preserve">  EBIT margin %</t>
  </si>
  <si>
    <t xml:space="preserve">  Check: EBIT vs S-1 operating income (should be 0)</t>
  </si>
  <si>
    <t xml:space="preserve">  NOL CARRYFORWARD &amp; CASH TAXES  (IRC §172 – 80% of taxable income limit)</t>
  </si>
  <si>
    <t>Federal NOL – opening</t>
  </si>
  <si>
    <t xml:space="preserve">  (−) NOL utilised</t>
  </si>
  <si>
    <t xml:space="preserve">  (+) NOL generated</t>
  </si>
  <si>
    <t>Federal NOL – closing</t>
  </si>
  <si>
    <t>Taxable income after NOL</t>
  </si>
  <si>
    <t>Cash taxes on EBIT</t>
  </si>
  <si>
    <t xml:space="preserve">  Effective cash tax rate on EBIT</t>
  </si>
  <si>
    <t xml:space="preserve">  UNLEVERED FREE CASH FLOW  ($M)  –  SBC treated as a real economic cost (not added back)</t>
  </si>
  <si>
    <t>EBIT</t>
  </si>
  <si>
    <t xml:space="preserve">  (−) Cash taxes</t>
  </si>
  <si>
    <t>NOPAT</t>
  </si>
  <si>
    <t xml:space="preserve">  (+) D&amp;A</t>
  </si>
  <si>
    <t xml:space="preserve">  (−) Compute capex (Anthropic Direct accelerators &amp; infrastructure)</t>
  </si>
  <si>
    <t xml:space="preserve">  (−) Other capex</t>
  </si>
  <si>
    <t xml:space="preserve">  (−) Increase in net working capital</t>
  </si>
  <si>
    <t>Unlevered Free Cash Flow</t>
  </si>
  <si>
    <t xml:space="preserve">  UFCF margin %</t>
  </si>
  <si>
    <t xml:space="preserve">  Total capex % of revenue</t>
  </si>
  <si>
    <t xml:space="preserve">  Memo: reported FCF (OCF − capex, S-1)</t>
  </si>
  <si>
    <t xml:space="preserve">  DISCOUNTING  (mid-period convention; valuation date = latest balance sheet date, Actuals!B8)</t>
  </si>
  <si>
    <t>Fraction of year after valuation date</t>
  </si>
  <si>
    <t>Discount period (years, mid-period)</t>
  </si>
  <si>
    <t>Discount factor</t>
  </si>
  <si>
    <t>PV of UFCF</t>
  </si>
  <si>
    <t>Identical engine on DCF Bear / DCF Base / DCF Bull – only B5 differs. Do not edit formulas on one engine without copying to the other two.</t>
  </si>
  <si>
    <t>SCENARIO INDEX</t>
  </si>
  <si>
    <t>(1 = Bear  |  2 = Base  |  3 = Bull)</t>
  </si>
  <si>
    <t xml:space="preserve">  ($ in Millions)</t>
  </si>
  <si>
    <t xml:space="preserve">  VALUATION SUMMARY  –  dual terminal value (Gordon Growth &amp; Exit Multiple)</t>
  </si>
  <si>
    <t xml:space="preserve">  ($M except per share)</t>
  </si>
  <si>
    <t>Gordon Growth</t>
  </si>
  <si>
    <t>Exit Multiple</t>
  </si>
  <si>
    <t>Blended</t>
  </si>
  <si>
    <t>Blend weight on Gordon Growth (input)</t>
  </si>
  <si>
    <t>Sum of PV of UFCF (FY2026E stub – FY2040E)</t>
  </si>
  <si>
    <t>Terminal-year metric (FY2040E UFCF | EBITDA)</t>
  </si>
  <si>
    <t>TV discount period (end of FY2040E)</t>
  </si>
  <si>
    <t>PV of terminal value</t>
  </si>
  <si>
    <t>Enterprise Value</t>
  </si>
  <si>
    <t xml:space="preserve">  TV % of EV</t>
  </si>
  <si>
    <t xml:space="preserve">  (+) Net cash incl. IPO proceeds (WACC tab)</t>
  </si>
  <si>
    <t xml:space="preserve">  Fully diluted shares post-IPO (M)</t>
  </si>
  <si>
    <t>Implied Value per Share</t>
  </si>
  <si>
    <t xml:space="preserve">  Entry / IPO price (Dashboard)</t>
  </si>
  <si>
    <t xml:space="preserve">  Upside / (downside) to entry</t>
  </si>
  <si>
    <t xml:space="preserve">  Cross-check: GG-implied exit EV/EBITDA</t>
  </si>
  <si>
    <t xml:space="preserve">  Cross-check: exit-multiple-implied perpetual growth</t>
  </si>
  <si>
    <t xml:space="preserve">  TV concentration flag</t>
  </si>
  <si>
    <t xml:space="preserve">  REVERSE DCF &amp; 5-YEAR UNDERWRITING RETURN  (what the entry price implies)</t>
  </si>
  <si>
    <t>Market capitalisation at entry price</t>
  </si>
  <si>
    <t>Required PV of terminal value (market EV − PV of explicit UFCF)</t>
  </si>
  <si>
    <t>Required terminal value (undiscounted)</t>
  </si>
  <si>
    <t>Market-implied perpetual growth rate</t>
  </si>
  <si>
    <t>Market-implied FY2040E exit EV/EBITDA</t>
  </si>
  <si>
    <t xml:space="preserve">  Terminal value share of market EV</t>
  </si>
  <si>
    <t>FY2031E equity value (EBITDA × exit multiple + net cash + cumulative UFCF)</t>
  </si>
  <si>
    <t>FY2031E value per share</t>
  </si>
  <si>
    <t>Expected IRR to FY2031E</t>
  </si>
  <si>
    <t>MOIC to FY2031E</t>
  </si>
  <si>
    <t xml:space="preserve">  SENSITIVITY 1 – Implied value per share (Gordon Growth): WACC vs Terminal growth</t>
  </si>
  <si>
    <t xml:space="preserve">  WACC ↓  \  Tg →</t>
  </si>
  <si>
    <t xml:space="preserve">  SENSITIVITY 2 – Implied value per share (Exit Multiple): WACC vs Exit EV/EBITDA</t>
  </si>
  <si>
    <t xml:space="preserve">  WACC ↓  \  Exit multiple →</t>
  </si>
  <si>
    <t xml:space="preserve">  TERMINAL-PERIOD WACC  (mature-stage cost of capital applied to Gordon Growth terminal value)</t>
  </si>
  <si>
    <t>Mature-stage unlevered beta</t>
  </si>
  <si>
    <t>FY2040E Anthropic ≈ mega-cap software / hyperscaler risk profile</t>
  </si>
  <si>
    <t>Mature-stage specific risk premium</t>
  </si>
  <si>
    <t>IPO / governance premium assumed to fade by terminal year</t>
  </si>
  <si>
    <t>Terminal relevered beta</t>
  </si>
  <si>
    <t>Hamada</t>
  </si>
  <si>
    <t>Terminal cost of equity</t>
  </si>
  <si>
    <t>CAPM</t>
  </si>
  <si>
    <t>Terminal-period WACC</t>
  </si>
  <si>
    <t>Used only to capitalise FY2040E UFCF; explicit years discounted at B23</t>
  </si>
  <si>
    <t>Terminal WACC</t>
  </si>
  <si>
    <t>Terminal-period WACC (mature stage, WACC tab)</t>
  </si>
  <si>
    <t>Terminal value (undiscounted; GG capitalised at terminal-period WACC)</t>
  </si>
  <si>
    <t>DCF stays annual; this tab tracks each 10-Q / 10-K against the Base engine and controls which Historicals columns feed the model  |  $ in Millions</t>
  </si>
  <si>
    <t>← must match a header in Historicals row 6 (e.g. 9M 2026A after the Q3 10-Q)</t>
  </si>
  <si>
    <t>← 6 / 9 / 12</t>
  </si>
  <si>
    <t>← must match a header in Historicals row 80 (e.g. Sep 2026A)</t>
  </si>
  <si>
    <t>← drives stub-period discounting &amp; IRR holding period</t>
  </si>
  <si>
    <t>← most recent quarter loaded in Historicals row 32</t>
  </si>
  <si>
    <t xml:space="preserve">  ② ANNUAL  –  ACTUALS (FY2023A–FY2025A) + BASE ENGINE FORECAST</t>
  </si>
  <si>
    <t xml:space="preserve">  Line item ($M)</t>
  </si>
  <si>
    <t>Total revenue</t>
  </si>
  <si>
    <t xml:space="preserve">  Consumption-based revenue</t>
  </si>
  <si>
    <t xml:space="preserve">  Subscription-based revenue</t>
  </si>
  <si>
    <t>Compute &amp; infrastructure</t>
  </si>
  <si>
    <t>Personnel (incl. SBC)</t>
  </si>
  <si>
    <t>EBIT / operating income</t>
  </si>
  <si>
    <t>Unlevered free cash flow (forecast)</t>
  </si>
  <si>
    <t>Compute capacity in service (GW)</t>
  </si>
  <si>
    <t>Capital expenditures</t>
  </si>
  <si>
    <t xml:space="preserve">  ③ QUARTERLY  –  FY2026 REVENUE BY SCENARIO  (actual where reported, else engine estimate)</t>
  </si>
  <si>
    <t xml:space="preserve">  Revenue ($M)</t>
  </si>
  <si>
    <t>Base engine</t>
  </si>
  <si>
    <t>Bear engine</t>
  </si>
  <si>
    <t>Bull engine</t>
  </si>
  <si>
    <t xml:space="preserve">  ④ QUARTERLY VARIANCE  –  Base estimate vs reported (record before rolling the update controls)</t>
  </si>
  <si>
    <t>Quarter under review (Historicals row 32 header)</t>
  </si>
  <si>
    <t xml:space="preserve">  Metric ($M)</t>
  </si>
  <si>
    <t>Base estimate</t>
  </si>
  <si>
    <t>Actual (auto)</t>
  </si>
  <si>
    <t>Var %</t>
  </si>
  <si>
    <t>Personnel</t>
  </si>
  <si>
    <t xml:space="preserve">  ⑤ ANNUAL VARIANCE  –  FY2026 Base forecast vs FY2026A (auto-fills when Historicals “FY2026A” column is populated)</t>
  </si>
  <si>
    <t xml:space="preserve">  FY2026 metric ($M)</t>
  </si>
  <si>
    <t>Forecast</t>
  </si>
  <si>
    <t>Stock-based compensation</t>
  </si>
  <si>
    <t xml:space="preserve">  ⑥ HOW TO UPDATE  (maintenance playbook)</t>
  </si>
  <si>
    <t>STRUCTURE: Historicals is the single source of truth – S-1 line items run DOWN rows, periods run ACROSS. Pre-labelled empty columns exist through FY2027 (quarterly IS, YTD IS/CF, balance sheet, KPIs).</t>
  </si>
  <si>
    <t>WHEN A QUARTER REPORTS (10-Q): (1) In Historicals enter the quarter’s IS in the next quarterly slot (rows 32-65), the YTD IS + cash flow in the next YTD column (e.g. 9M 2026A) and the balance sheet in the next BS column; add KPIs (rows 167-174).</t>
  </si>
  <si>
    <t xml:space="preserve">   (2) Read block ④ above and log the variance (it compares the frozen driver-based estimate to the reported quarter). (3) Then roll the update controls B5-B9 and set B35 to the next quarter.</t>
  </si>
  <si>
    <t xml:space="preserve">   (4) The FY2026E quarterly build on each DCF engine automatically swaps the estimate for the reported quarter. Revisit Drivers (QoQ growth, compute %, headcount) and re-underwrite.</t>
  </si>
  <si>
    <t>WHEN A FULL YEAR REPORTS (10-K): populate the FY2026A column; block ⑤ fills automatically. Rolling the base year (FY2026E → FY2027E as stub) is a once-a-year structural refresh of the engines.</t>
  </si>
  <si>
    <t>NEW LINE ITEMS: insert a row inside the relevant Historicals block (references below shift automatically), add it to that block’s check row, then map it into the DCF income statement if it is an operating line.</t>
  </si>
  <si>
    <t>IPO PRICING: when the final prospectus prints, update Dashboard!B5 (price), WACC!B37/B42/B44 (conversion ratio, dilution, proceeds) and clear the yellow flags. Refresh WACC!B7 (Rf) and Comps market data every quarter.</t>
  </si>
  <si>
    <t>ENGINES: DCF Bear / Base / Bull are identical except cell B5. Any formula change must be made on all three (copy the changed rows across).</t>
  </si>
  <si>
    <t xml:space="preserve">  Company</t>
  </si>
  <si>
    <t>Ticker</t>
  </si>
  <si>
    <t>Mkt Cap</t>
  </si>
  <si>
    <t>Net Debt</t>
  </si>
  <si>
    <t>EV</t>
  </si>
  <si>
    <t>Levered β</t>
  </si>
  <si>
    <t>Unlevered β</t>
  </si>
  <si>
    <t xml:space="preserve">  TIER 1 – AI INFRASTRUCTURE &amp; AI-NATIVE PLATFORMS</t>
  </si>
  <si>
    <t>NVIDIA Corporation</t>
  </si>
  <si>
    <t>NVDA</t>
  </si>
  <si>
    <t>Palantir Technologies Inc.</t>
  </si>
  <si>
    <t>PLTR</t>
  </si>
  <si>
    <t>CoreWeave, Inc.</t>
  </si>
  <si>
    <t>CRWV</t>
  </si>
  <si>
    <t>Nebius Group N.V.</t>
  </si>
  <si>
    <t>NBIS</t>
  </si>
  <si>
    <t xml:space="preserve">  Median</t>
  </si>
  <si>
    <t xml:space="preserve">  TIER 2 – HYPERSCALERS &amp; MEGA-CAP PLATFORMS (compute partners)</t>
  </si>
  <si>
    <t>Microsoft Corporation</t>
  </si>
  <si>
    <t>MSFT</t>
  </si>
  <si>
    <t>Alphabet Inc.</t>
  </si>
  <si>
    <t>GOOGL</t>
  </si>
  <si>
    <t>Amazon.com, Inc.</t>
  </si>
  <si>
    <t>AMZN</t>
  </si>
  <si>
    <t>Meta Platforms, Inc.</t>
  </si>
  <si>
    <t>META</t>
  </si>
  <si>
    <t>Oracle Corporation</t>
  </si>
  <si>
    <t>ORCL</t>
  </si>
  <si>
    <t xml:space="preserve">  TIER 3 – ENTERPRISE SOFTWARE (mature-state reference)</t>
  </si>
  <si>
    <t>ServiceNow, Inc.</t>
  </si>
  <si>
    <t>NOW</t>
  </si>
  <si>
    <t>Salesforce, Inc.</t>
  </si>
  <si>
    <t>CRM</t>
  </si>
  <si>
    <t>Snowflake Inc.</t>
  </si>
  <si>
    <t>SNOW</t>
  </si>
  <si>
    <t>Datadog, Inc.</t>
  </si>
  <si>
    <t>DDOG</t>
  </si>
  <si>
    <t xml:space="preserve">  ALL-COMPS SUMMARY &amp; IMPLIED ANTHROPIC VALUE  (cross-check only – DCF is primary)</t>
  </si>
  <si>
    <t>All-comps median unlevered β  (→ WACC!B14)</t>
  </si>
  <si>
    <t>Comps!K35 – populates once market data is entered</t>
  </si>
  <si>
    <t>Single-segment DCF, 3 scenario engines, probability-weighted  |  Form S-1 filed 26-Oct-2026  |  $ in Millions except per share</t>
  </si>
  <si>
    <t xml:space="preserve">  ① ENTER PRICE TO SEE UPSIDE / DOWNSIDE</t>
  </si>
  <si>
    <t xml:space="preserve">  ② IMPLIED VALUE PER SHARE BY SCENARIO  (fully diluted, post-IPO)</t>
  </si>
  <si>
    <t>Upside / (Down)</t>
  </si>
  <si>
    <t>MOIC</t>
  </si>
  <si>
    <t>Probability-weighted</t>
  </si>
  <si>
    <t>Hurdle rate (required annual return)</t>
  </si>
  <si>
    <t>Required margin of safety vs probability-weighted value</t>
  </si>
  <si>
    <t>Frontier-AI model risk; compute commitments</t>
  </si>
  <si>
    <t>Probability-weighted value per share</t>
  </si>
  <si>
    <t>Maximum entry price (value × (1 − margin of safety))</t>
  </si>
  <si>
    <t>Price discipline anchor</t>
  </si>
  <si>
    <t>Base-case IRR minus hurdle</t>
  </si>
  <si>
    <t>Recommendation</t>
  </si>
  <si>
    <t>Driven by entered price vs value &amp; IRR</t>
  </si>
  <si>
    <t>Market-implied perpetual growth (Base engine reverse DCF)</t>
  </si>
  <si>
    <t>vs Base terminal growth assumption</t>
  </si>
  <si>
    <t>Market-implied FY2040E exit EV / EBITDA (Base)</t>
  </si>
  <si>
    <t>vs Base exit multiple</t>
  </si>
  <si>
    <t>Market-implied EV / FY2027E revenue</t>
  </si>
  <si>
    <t>Cross-check vs comps medians</t>
  </si>
  <si>
    <t xml:space="preserve">  ④ BASE CASE  –  ENTERPRISE VALUE TO EQUITY BRIDGE</t>
  </si>
  <si>
    <t xml:space="preserve">  ($M)</t>
  </si>
  <si>
    <t>Sum of PV of UFCF</t>
  </si>
  <si>
    <t>Enterprise value</t>
  </si>
  <si>
    <t>(+) Net cash incl. IPO proceeds</t>
  </si>
  <si>
    <t>Equity value</t>
  </si>
  <si>
    <t>Fully diluted shares (M)</t>
  </si>
  <si>
    <t>Implied value per share</t>
  </si>
  <si>
    <t xml:space="preserve">  ⑤ SENSITIVITY (Base) – value per share, Gordon Growth: WACC vs terminal growth</t>
  </si>
  <si>
    <t xml:space="preserve">  ⑥ SENSITIVITY (Base) – value per share, Exit Multiple: WACC vs exit EV/EBITDA</t>
  </si>
  <si>
    <t xml:space="preserve">  ⑦ KEY FINANCIALS &amp; COMPUTE  –  Base engine</t>
  </si>
  <si>
    <t>Revenue ($M)</t>
  </si>
  <si>
    <t>Accelerators in service (000s)</t>
  </si>
  <si>
    <t xml:space="preserve">  Owned (Anthropic Direct) share of fleet</t>
  </si>
  <si>
    <t>Compute need % of revenue</t>
  </si>
  <si>
    <t>Adjusted EBITDA margin</t>
  </si>
  <si>
    <t>EBIT margin</t>
  </si>
  <si>
    <t>Unlevered FCF ($M)</t>
  </si>
  <si>
    <t xml:space="preserve">  UFCF margin</t>
  </si>
  <si>
    <t xml:space="preserve">  INVESTMENT THESIS</t>
  </si>
  <si>
    <t xml:space="preserve">  VALUATION CONCLUSION  (implied value per share, fully diluted post-IPO)</t>
  </si>
  <si>
    <t xml:space="preserve">  Measure</t>
  </si>
  <si>
    <t>Prob-weighted</t>
  </si>
  <si>
    <t>Notes</t>
  </si>
  <si>
    <t>Value per share – blended (50% GG / 50% exit)</t>
  </si>
  <si>
    <t>Blend weight: DCF engines, cell B153</t>
  </si>
  <si>
    <t>Value per share – Gordon Growth</t>
  </si>
  <si>
    <t>Terminal value capitalised at the terminal-period WACC</t>
  </si>
  <si>
    <t>Value per share – Exit multiple</t>
  </si>
  <si>
    <t>Exit EV/EBITDA applied to FY2040E EBITDA</t>
  </si>
  <si>
    <t>Upside / (downside) to entry price</t>
  </si>
  <si>
    <t>Exit at FY2031E EBITDA × scenario exit multiple</t>
  </si>
  <si>
    <t>Enterprise value – blended ($M)</t>
  </si>
  <si>
    <t>Entry / IPO price</t>
  </si>
  <si>
    <t xml:space="preserve">  KEY ASSUMPTIONS  (Base case – edit on Drivers / WACC)</t>
  </si>
  <si>
    <t>Source</t>
  </si>
  <si>
    <t>FY2026E revenue ($M)</t>
  </si>
  <si>
    <t>1H26A + Q3/Q4 QoQ build</t>
  </si>
  <si>
    <t>FY2027E revenue growth</t>
  </si>
  <si>
    <t>Drivers</t>
  </si>
  <si>
    <t>FY2030E revenue ($M)</t>
  </si>
  <si>
    <t>Consumption + subscription build</t>
  </si>
  <si>
    <t>FY2040E revenue ($M)</t>
  </si>
  <si>
    <t>FY2040E compute need % of revenue</t>
  </si>
  <si>
    <t>Inference + training</t>
  </si>
  <si>
    <t>FY2040E compute capacity (GW)</t>
  </si>
  <si>
    <t>Rental-equivalent cost per GW-yr</t>
  </si>
  <si>
    <t>FY2040E EBIT margin</t>
  </si>
  <si>
    <t>SBC treated as a cost</t>
  </si>
  <si>
    <t>WACC (explicit period)</t>
  </si>
  <si>
    <t>Mature βu 1.00</t>
  </si>
  <si>
    <t>Terminal growth / exit EV/EBITDA</t>
  </si>
  <si>
    <t>Fully diluted shares post-IPO (M)</t>
  </si>
  <si>
    <t xml:space="preserve">  S-1 ACTUALS SNAPSHOT</t>
  </si>
  <si>
    <t>Period / source</t>
  </si>
  <si>
    <t>6M 2026A (vs $1,163M 6M 2025A)</t>
  </si>
  <si>
    <t>Quarterly revenue run-rate ($M)</t>
  </si>
  <si>
    <t>Q2 2026A × 4</t>
  </si>
  <si>
    <t>Adjusted operating income ($M)</t>
  </si>
  <si>
    <t>Operating cash flow ($M)</t>
  </si>
  <si>
    <t>Cash + short-term investments ($M)</t>
  </si>
  <si>
    <t>Customers ≥$100K TTM revenue</t>
  </si>
  <si>
    <t>Net Revenue Retention</t>
  </si>
  <si>
    <t xml:space="preserve">  KEY RISKS &amp; WHAT WOULD CHANGE OUR VIEW</t>
  </si>
  <si>
    <t xml:space="preserve">  Risk</t>
  </si>
  <si>
    <t>Impact</t>
  </si>
  <si>
    <t>Compute overhang: capacity is committed 12-18 months ahead; if demand slows, fixed compute cost compresses margins (S-1: margins expected to fluctuate)</t>
  </si>
  <si>
    <t>High – Bear engine</t>
  </si>
  <si>
    <t>Pricing and competition from other frontier labs and open-weight models erode revenue per token faster than compute efficiency improves</t>
  </si>
  <si>
    <t>High</t>
  </si>
  <si>
    <t>Dilution: preferred conversion, note conversion, RSU settlement, Public Benefit Issuance, and the Broadcom/Google NPAs ($62B) that can be settled in shares</t>
  </si>
  <si>
    <t>High – share count</t>
  </si>
  <si>
    <t>Governance: PBC status and the Long-Term Benefit Trust may put the mission ahead of shareholder returns</t>
  </si>
  <si>
    <t>Medium</t>
  </si>
  <si>
    <t>Concentration among compute and cloud partners (AWS, Google, Microsoft/NVIDIA, Broadcom) for both supply and distribution</t>
  </si>
  <si>
    <t>Legal and regulatory: copyright (Bartz $1.5B precedent), AI safety regulation, export controls</t>
  </si>
  <si>
    <t xml:space="preserve">  MODEL MAP</t>
  </si>
  <si>
    <t xml:space="preserve">  Sheet</t>
  </si>
  <si>
    <t>Purpose</t>
  </si>
  <si>
    <t>Dashboard</t>
  </si>
  <si>
    <t>DCF Base / DCF Bear / DCF Bull</t>
  </si>
  <si>
    <t>Identical 15-year engines: quarterly FY26 build → revenue → compute &amp; GPU → opex → IS → NOL → UFCF → TV → bridge → reverse DCF → IRR</t>
  </si>
  <si>
    <t>Granular Bear / Base / Bull assumptions plus a live historical reference</t>
  </si>
  <si>
    <t>CAPM, terminal-period WACC, fully diluted share bridge, net cash bridge</t>
  </si>
  <si>
    <t>Comps</t>
  </si>
  <si>
    <t>Actuals</t>
  </si>
  <si>
    <t>Update controls, annual &amp; quarterly variance, how-to-update playbook</t>
  </si>
  <si>
    <t>Historicals</t>
  </si>
  <si>
    <t>S-1 statements as reported, with pre-labelled columns for future 10-Q/10-K</t>
  </si>
  <si>
    <t>All historical figures are from the Anthropic, PBC Form S-1 (SEC EDGAR, filed 26-Oct-2026). Forecasts are analyst estimates, not company guidance.</t>
  </si>
  <si>
    <t>Price input, scenario values, probability weighting, investment decision, sensitivities</t>
  </si>
  <si>
    <t xml:space="preserve">  ③ INVESTMENT DECISION  (personal underwriting rules)</t>
  </si>
  <si>
    <t>Operating drivers feeding DCF Bear / DCF Base / DCF Bull  |  FY2026E–FY2040E (15-year explicit forecast)  |  $ in Millions unless stated</t>
  </si>
  <si>
    <t>Form S-1 filed 26-Oct-2026  |  15-Year Explicit Forecast FY2026E–FY2040E  |  $ in Millions except per share  |  Intrinsic value</t>
  </si>
  <si>
    <t>% of convertible notes converting at IPO (Convertible Notes Conversion)</t>
  </si>
  <si>
    <t>(−) Convertible notes NOT converting at IPO (fair value, debt-like)</t>
  </si>
  <si>
    <t>Fiscal year-end of current forecast year (engine column E)</t>
  </si>
  <si>
    <t>Purchase / valuation date (your entry date)</t>
  </si>
  <si>
    <t>IRR exit date (year-end of engine column J = FY2031E)</t>
  </si>
  <si>
    <t>Q3 2026 revenue floor implied by S-1 ($M)</t>
  </si>
  <si>
    <t>Roll-forward period: balance-sheet date → purchase date (years)</t>
  </si>
  <si>
    <t>Roll-forward factor at cost of equity</t>
  </si>
  <si>
    <t>← stub-period end; roll to the next year-end only when the engine years are rolled</t>
  </si>
  <si>
    <t>← value per share is compounded to this date and the IRR is measured from it</t>
  </si>
  <si>
    <t>← keep aligned with engine column J</t>
  </si>
  <si>
    <t>← ≈5,300 employees × &gt;$6.6M TTM revenue/employee − Q4'25–Q2'26 revenue; Bear Q3 cannot sit below this</t>
  </si>
  <si>
    <t>← (purchase date − balance-sheet date) / 365</t>
  </si>
  <si>
    <t>← equity value at the balance-sheet date × (1 + cost of equity)^years</t>
  </si>
  <si>
    <t>YTD unlevered FCF proxy (CFO − capex − after-tax interest income)</t>
  </si>
  <si>
    <t>UFCF attributable to period (FY2026E = full-year model − YTD actual)</t>
  </si>
  <si>
    <t>Holding period (years, purchase date → exit date, Actuals tab)</t>
  </si>
  <si>
    <t>Tg step →</t>
  </si>
  <si>
    <t>WACC step ↓</t>
  </si>
  <si>
    <t>Multiple step →</t>
  </si>
  <si>
    <t>Equity Value (rolled forward to purchase date, Actuals!B11)</t>
  </si>
  <si>
    <t>Market-implied enterprise value (at balance-sheet date)</t>
  </si>
  <si>
    <t>Linked to CAPM cost of equity (WACC!B18) – only override upward</t>
  </si>
  <si>
    <t>IRR to FY2031E (from purchase date)</t>
  </si>
  <si>
    <t>Source: Historicals tab (Form S-1 filed 26-Oct-2026) and DCF Base engine  |  $ in Millions unless stated  |  fills automatically as new quarters are added to Historicals</t>
  </si>
  <si>
    <t>Cells stay blank until the matching Historicals column is populated. Ratios use S-1 line items exactly as reported.</t>
  </si>
  <si>
    <t xml:space="preserve">  A. QUARTERLY OPERATING RATIOS  (Historicals quarterly block, rows 32–55 &amp; KPIs rows 167–174)</t>
  </si>
  <si>
    <t xml:space="preserve">  B. ANNUAL / YTD RATIOS  (Historicals income statement, cash flow &amp; revenue disaggregation)</t>
  </si>
  <si>
    <t xml:space="preserve">  C. BALANCE SHEET &amp; LIQUIDITY  (Historicals balance sheet, rows 80–110)</t>
  </si>
  <si>
    <t xml:space="preserve">  D. FORECAST RATIOS  (DCF Base engine; FY2023A–FY2025A actual, FY2026E onward forecast)</t>
  </si>
  <si>
    <t xml:space="preserve">  % QoQ growth</t>
  </si>
  <si>
    <t xml:space="preserve">  Compute &amp; infrastructure % revenue</t>
  </si>
  <si>
    <t xml:space="preserve">  Personnel % revenue</t>
  </si>
  <si>
    <t xml:space="preserve">  Sales, marketing &amp; partnerships % revenue</t>
  </si>
  <si>
    <t xml:space="preserve">  Other operating &amp; administrative % revenue</t>
  </si>
  <si>
    <t xml:space="preserve">  Total operating expenses % revenue</t>
  </si>
  <si>
    <t>Operating margin (GAAP)</t>
  </si>
  <si>
    <t xml:space="preserve">  Stock-based compensation % revenue</t>
  </si>
  <si>
    <t>Adjusted operating margin (non-GAAP, S-1 definition)</t>
  </si>
  <si>
    <t xml:space="preserve">  Incremental adjusted operating margin (Δ adj. OI / Δ revenue, QoQ)</t>
  </si>
  <si>
    <t>Contribution after compute (revenue − compute &amp; infrastructure) margin</t>
  </si>
  <si>
    <t>Revenue per $1 of compute &amp; infrastructure expense</t>
  </si>
  <si>
    <t>Customers with ≥$100K TTM revenue (#)</t>
  </si>
  <si>
    <t>Employees (approx., period end)</t>
  </si>
  <si>
    <t>Implied TTM revenue (employees × TTM revenue / employee)</t>
  </si>
  <si>
    <t xml:space="preserve">  Stock-based compensation % revenue (cash flow statement)</t>
  </si>
  <si>
    <t xml:space="preserve">  Interest income % revenue</t>
  </si>
  <si>
    <t>Operating cash flow margin</t>
  </si>
  <si>
    <t xml:space="preserve">  Capex (purchases of PP&amp;E) % revenue</t>
  </si>
  <si>
    <t>Free cash flow margin (OCF − capex)</t>
  </si>
  <si>
    <t xml:space="preserve">  FCF conversion of adjusted operating income</t>
  </si>
  <si>
    <t xml:space="preserve">  Consumption-based revenue mix</t>
  </si>
  <si>
    <t xml:space="preserve">  Subscription-based revenue mix</t>
  </si>
  <si>
    <t xml:space="preserve">  International revenue mix</t>
  </si>
  <si>
    <t>Cash, cash equivalents &amp; short-term investments</t>
  </si>
  <si>
    <t xml:space="preserve">  Cash &amp; investments % total assets</t>
  </si>
  <si>
    <t>Working capital (current assets − current liabilities)</t>
  </si>
  <si>
    <t xml:space="preserve">  Current ratio</t>
  </si>
  <si>
    <t>Accounts receivable, net</t>
  </si>
  <si>
    <t>Deferred revenue</t>
  </si>
  <si>
    <t>Property &amp; equipment, net</t>
  </si>
  <si>
    <t xml:space="preserve">  PP&amp;E + operating ROU assets % total assets</t>
  </si>
  <si>
    <t>Convertible notes payable (fair value)</t>
  </si>
  <si>
    <t>EBITDA margin</t>
  </si>
  <si>
    <t xml:space="preserve">  Adjusted EBITDA margin</t>
  </si>
  <si>
    <t>UFCF margin</t>
  </si>
  <si>
    <t xml:space="preserve">  Total capex % revenue</t>
  </si>
  <si>
    <t>Revenue per GW in service ($M)</t>
  </si>
  <si>
    <t>Revenue per average employee ($M)</t>
  </si>
  <si>
    <t>Source: Form S-1 filed 26-Oct-2026 (MD&amp;A – Contractual Obligations; Convertible Notes; Note 13)  |  $ in Millions  |  model spend from DCF Base / DCF Bear</t>
  </si>
  <si>
    <t xml:space="preserve">  Obligation ($M)</t>
  </si>
  <si>
    <t>Total</t>
  </si>
  <si>
    <t>Thereafter</t>
  </si>
  <si>
    <t>Source / note</t>
  </si>
  <si>
    <t>Operating leases</t>
  </si>
  <si>
    <t>Offices and compute &amp; infrastructure (S-1 footnote 1)</t>
  </si>
  <si>
    <t>Finance leases</t>
  </si>
  <si>
    <t>Compute &amp; infrastructure (S-1 footnote 2)</t>
  </si>
  <si>
    <t>Purchase commitments</t>
  </si>
  <si>
    <t>CSP hosting and third-party infrastructure service agreements, non-cancelable &gt;1 year (S-1 footnote 3)</t>
  </si>
  <si>
    <t>Total contractual obligations</t>
  </si>
  <si>
    <t>Excludes convertible notes expected to settle in shares (S-1 footnote 4)</t>
  </si>
  <si>
    <t xml:space="preserve">  Other commitments disclosed outside the table</t>
  </si>
  <si>
    <t>Minimum payments (S-1 MD&amp;A paragraph after the table)</t>
  </si>
  <si>
    <t>Leases executed but not yet commenced (undiscounted)</t>
  </si>
  <si>
    <t>Expected to commence over the period stated in the S-1</t>
  </si>
  <si>
    <t>Aggregate future minimum payments (S-1 MD&amp;A)</t>
  </si>
  <si>
    <t>S-1 footnote 5 range (payable as capacity is delivered)</t>
  </si>
  <si>
    <t>S-1 footnote 5 range</t>
  </si>
  <si>
    <t>Aggregate commitments – low (table + other + variable low)</t>
  </si>
  <si>
    <t>Aggregate commitments – high (table + other + variable high)</t>
  </si>
  <si>
    <t>S-1 headline: “substantially all of which is related to compute and infrastructure”</t>
  </si>
  <si>
    <t xml:space="preserve">  B. COMPUTE-LINKED FINANCING FACILITIES  (S-1 – Convertible Notes section, as of 30-Jun-2026)</t>
  </si>
  <si>
    <t xml:space="preserve">  Facility</t>
  </si>
  <si>
    <t>Capacity</t>
  </si>
  <si>
    <t>Outstanding</t>
  </si>
  <si>
    <t>Rate</t>
  </si>
  <si>
    <t>Terms (summary)</t>
  </si>
  <si>
    <t>Infrastructure Partner 2026 NPA (Broadcom)</t>
  </si>
  <si>
    <t>Draws only to fund quarterly rent under the 2026 Lease Arrangement; interest PIK (13% if revenue conditions not met); converts post-IPO at 90% of 30-day VWAP into Class N</t>
  </si>
  <si>
    <t>Google 2026 NPA</t>
  </si>
  <si>
    <t>Draws linked to compute agreements and TTM revenue targets through Dec-2030; post-IPO settled in notes or Class N shares at 30-day VWAP; 14.99% ownership cap</t>
  </si>
  <si>
    <t>Amazon Notes (2023 &amp; 2024 NPAs) – principal</t>
  </si>
  <si>
    <t>Total indebtedness at 30-Jun-2026; converts into Class N at the IPO up to Amazon's ownership cap (Convertible Notes Conversion)</t>
  </si>
  <si>
    <t>Total facility capacity</t>
  </si>
  <si>
    <t xml:space="preserve">  Potential post-IPO dilution if Broadcom + Google facilities are fully drawn and settled in shares (M shares at entry price)</t>
  </si>
  <si>
    <t>Memo only – not in the fully diluted share count (WACC!B49). Shown to size the dilution risk.</t>
  </si>
  <si>
    <t xml:space="preserve">  C. COVERAGE TEST  –  does the forecast compute spend cover what is already committed?</t>
  </si>
  <si>
    <t xml:space="preserve">  Test ($M)</t>
  </si>
  <si>
    <t>Base: forecast compute spend (rented + owned power &amp; ops + compute capex)</t>
  </si>
  <si>
    <t>Bear: forecast compute spend</t>
  </si>
  <si>
    <t xml:space="preserve">  Base coverage (forecast spend ÷ committed)</t>
  </si>
  <si>
    <t xml:space="preserve">  Bear coverage (forecast spend ÷ committed)</t>
  </si>
  <si>
    <t>Bear shortfall: committed spend above Bear forecast (potentially stranded)</t>
  </si>
  <si>
    <t>PV of Bear shortfall at Bear WACC</t>
  </si>
  <si>
    <t xml:space="preserve">  PV of Bear shortfall per fully diluted share ($)</t>
  </si>
  <si>
    <t>2026 = remaining fiscal year (full-year model × (1 − YTD fraction)); Thereafter = FY2031E–FY2040E</t>
  </si>
  <si>
    <t>Memo – not deducted in the DCF engines; the Bear engine already models lower compute need</t>
  </si>
  <si>
    <t xml:space="preserve">  Discount period (years from balance-sheet date; Thereafter = assumed weighted timing)</t>
  </si>
  <si>
    <t>Thereafter timing (5.5 yrs, i.e. front-loaded into the early 2030s) is an input – adjust once the S-1 profile is known</t>
  </si>
  <si>
    <t>Quarter</t>
  </si>
  <si>
    <t>Adj. op. margin</t>
  </si>
  <si>
    <t>Compute %</t>
  </si>
  <si>
    <t>Personnel %</t>
  </si>
  <si>
    <t>S&amp;M %</t>
  </si>
  <si>
    <t>Year</t>
  </si>
  <si>
    <t>GW in service</t>
  </si>
  <si>
    <t>Owned share</t>
  </si>
  <si>
    <t>Scenario</t>
  </si>
  <si>
    <t>Value / share</t>
  </si>
  <si>
    <t>Entry price</t>
  </si>
  <si>
    <t>#N/A = quarter not yet reported; keeps the charts gap-free and fills in automatically.</t>
  </si>
  <si>
    <t>Graphs</t>
  </si>
  <si>
    <t>Ratios</t>
  </si>
  <si>
    <t>Commitments</t>
  </si>
  <si>
    <t>Quarterly revenue &amp; margins, opex mix, revenue &amp; UFCF by scenario, compute build-out, value vs entry price</t>
  </si>
  <si>
    <t>Three-tier trading comps (market data) → beta and EV/revenue cross-check</t>
  </si>
  <si>
    <t>Quarterly, annual, balance-sheet and forecast unit economics – auto-fills from Historicals</t>
  </si>
  <si>
    <t>LTM Revenue</t>
  </si>
  <si>
    <t>Fwd P/S (src)</t>
  </si>
  <si>
    <t>Next-FY Revenue</t>
  </si>
  <si>
    <t>LTM EBITDA</t>
  </si>
  <si>
    <t>Fwd Rev Growth</t>
  </si>
  <si>
    <t>LTM EBITDA Mgn</t>
  </si>
  <si>
    <t>EV / Fwd Rev</t>
  </si>
  <si>
    <t>EV / LTM EBITDA</t>
  </si>
  <si>
    <t>Trading comps for beta and multiple cross-checks  |  $ in Millions  |  market data as of 27-Oct-2026  |  Next-FY = company's next fiscal year consensus; EBITDA is LTM</t>
  </si>
  <si>
    <t>Market data from stockanalysis.com (UNOFFICIAL aggregator; S&amp;P Global Market Intelligence data) – each value cell carries a source note. Replace with terminal data before relying on it.</t>
  </si>
  <si>
    <t>All-comps median EV / next-FY revenue</t>
  </si>
  <si>
    <t>All-comps median EV / LTM EBITDA (positive-EBITDA comps)</t>
  </si>
  <si>
    <t>Anthropic next-FY revenue proxy – FY2027E (DCF Base)</t>
  </si>
  <si>
    <t>Anthropic LTM EBITDA proxy – FY2026E (DCF Base)</t>
  </si>
  <si>
    <t>Implied EV – EV / next-FY revenue</t>
  </si>
  <si>
    <t>Implied value per share – EV / next-FY revenue</t>
  </si>
  <si>
    <t>Market-implied EV / FY2027E revenue at entry price</t>
  </si>
  <si>
    <t>Stock options outstanding (latest S-1 / 10-Q, millions)</t>
  </si>
  <si>
    <t xml:space="preserve">  Weighted-average exercise price ($/share)</t>
  </si>
  <si>
    <t>RSUs outstanding – IPO performance condition (millions)</t>
  </si>
  <si>
    <t>S-1 Note 11 – stock option activity, balance 30-Jun-2026 (1,797,066k)</t>
  </si>
  <si>
    <t>S-1 Note 11 – WAEP of options outstanding 30-Jun-2026</t>
  </si>
  <si>
    <t>S-1 Note 11 – RSU activity, balance 30-Jun-2026 (1,049,631k); vest on IPO performance condition</t>
  </si>
  <si>
    <t>Net dilution: options (treasury stock method at IPO price) + RSUs</t>
  </si>
  <si>
    <t>Excludes Initial Public Benefit Issuance &amp; post-30-Sep Class N / acquisition shares (blank in S-1) – add when disclosed</t>
  </si>
  <si>
    <t>Preferred → common conversion ratio (post 10-for-1 split)</t>
  </si>
  <si>
    <t>S-1 Note 1 'Stock Split': 10-for-1 split of Class A &amp; N on 17-Sep-2026; preferred conversion rate proportionately adjusted</t>
  </si>
  <si>
    <t>Reference price for note conversion ($/common share, split-adjusted)</t>
  </si>
  <si>
    <t>Series H-1 $589.0095 per preferred ÷ conversion ratio; FV ÷ price approximates conversion shares</t>
  </si>
  <si>
    <t>Selected unlevered beta (= peer median)</t>
  </si>
  <si>
    <t>Linked to Comps all-comps median unlevered beta (13 peers, CRWV excluded – no 5Y beta)</t>
  </si>
  <si>
    <t>← Placeholder = Series H-1 $589.01 ÷ 10 (split-adjusted $/common). Overwrite with IPO price once set</t>
  </si>
  <si>
    <t>Anthropic, PBC (Claude)  |  $ANT  |  DCF Valuation Dashboard  (Bear / Base / Bull)</t>
  </si>
  <si>
    <t>Anthropic ($ANT) – Charts</t>
  </si>
  <si>
    <t>Anthropic ($ANT) – DCF Valuation Engine  (Scenario engine)</t>
  </si>
  <si>
    <t>Anthropic ($ANT) – Forecast Drivers  (Bear / Base / Bull)</t>
  </si>
  <si>
    <t>Anthropic ($ANT) – Cost of Capital &amp; Capitalization</t>
  </si>
  <si>
    <t>Anthropic ($ANT) – Comparable Company Analysis</t>
  </si>
  <si>
    <t>Anthropic ($ANT) – Ratios &amp; Unit Economics</t>
  </si>
  <si>
    <t>Anthropic ($ANT) – Compute Commitments &amp; Coverage Test</t>
  </si>
  <si>
    <t>Anthropic ($ANT) – Actuals vs Model Tracker  (quarterly update hub)</t>
  </si>
  <si>
    <t>Anthropic ($ANT) – Historical Financial Statements (As Reported in Form S-1)</t>
  </si>
  <si>
    <t>The MD&amp;A contractual-obligations table is blank in this S-1, but Notes 7 &amp; 13 disclose the data – loaded below. Expect an S-1/A (price range, share count, likely 30-Sep-2026 figures) before the roadshow.</t>
  </si>
  <si>
    <t xml:space="preserve">  A. CONTRACTUAL OBLIGATIONS  (payments due by year – leases as of 30-Jun-2026, Note 7; purchase commitments as of 31-Dec-2025, Note 13)</t>
  </si>
  <si>
    <t>Purchase commitments added 31-Dec-2025 → 30-Jun-2026 (total $265.6B less dated schedule; timing not disclosed)</t>
  </si>
  <si>
    <t>Data-centre developer guaranty – maximum potential payments (30-Jun-2026)</t>
  </si>
  <si>
    <t>Split-adjusted (10-for-1, Sep-2026): common + preferred×10 + notes + options (TSM) + RSUs + IPO shares</t>
  </si>
  <si>
    <t>S-1 Notes 7 &amp; 13 commitments (leases, purchase commitments, leases not yet commenced), financing facilities, Bear coverage test</t>
  </si>
  <si>
    <t>Variable-capacity compute agreements – low estimate (TPU 2028-31 low + AMD initial tranche)</t>
  </si>
  <si>
    <t>Variable-capacity compute agreements – high estimate (TPU high + AMD initial + optional AMD expansion)</t>
  </si>
  <si>
    <t>Type</t>
  </si>
  <si>
    <t>Start</t>
  </si>
  <si>
    <t>End</t>
  </si>
  <si>
    <t>Low</t>
  </si>
  <si>
    <t>Category</t>
  </si>
  <si>
    <t>Inv +</t>
  </si>
  <si>
    <t>Inv −</t>
  </si>
  <si>
    <t>Consumption</t>
  </si>
  <si>
    <t>Subscription</t>
  </si>
  <si>
    <t>Rev</t>
  </si>
  <si>
    <t>Step</t>
  </si>
  <si>
    <t>Costs</t>
  </si>
  <si>
    <t xml:space="preserve">Costs </t>
  </si>
  <si>
    <t>Income</t>
  </si>
  <si>
    <t xml:space="preserve">Income </t>
  </si>
  <si>
    <t>Subtotal</t>
  </si>
  <si>
    <t xml:space="preserve">Subtotal </t>
  </si>
  <si>
    <t>Source: Historicals (Form S-1 filed 26-Oct-2026), DCF Bear / Base / Bull engines, Dashboard  |  $ in Millions unless stated  |  chart data block in columns U:AK (linked, do not overwrite)</t>
  </si>
  <si>
    <t>Chart 1 title (linked to chart):</t>
  </si>
  <si>
    <t xml:space="preserve">  CHART DATA 1: YTD INCOME STATEMENT BRIDGE (Historicals rows 7–22, 72–73; period = Actuals!B5)</t>
  </si>
  <si>
    <t xml:space="preserve">  CHART DATA 2–3: QUARTERLY (Historicals rows 32–55)</t>
  </si>
  <si>
    <t xml:space="preserve">  CHART DATA 4: REVENUE BY SCENARIO (engine row 107)</t>
  </si>
  <si>
    <t xml:space="preserve">  CHART DATA 5: COMPUTE BUILD-OUT – BASE (engine rows 80, 86)</t>
  </si>
  <si>
    <t xml:space="preserve">  CHART DATA 6: VALUE PER SHARE vs ENTRY (Dashboard)</t>
  </si>
  <si>
    <t xml:space="preserve">  CHART DATA 7: UNLEVERED FCF BY SCENARIO (engine row 140)</t>
  </si>
  <si>
    <t xml:space="preserve">  Memo: total fixed / minimum purchase commitments at 30-Jun-2026 (not summed – feeds row 16)</t>
  </si>
  <si>
    <t>Variance tolerance – 'in line' band (±)</t>
  </si>
  <si>
    <t>← used by the ✓ / ▲ / ▼ status flags in sections ④ and ⑤</t>
  </si>
  <si>
    <t>=IF(C43="","(awaiting)",IF(ABS(D43)&lt;$B$16,"✓ In line",IF(C43&gt;B43,"▲ Above model","▼ Below model")))</t>
  </si>
  <si>
    <t>=IF(C44="","(awaiting)",IF(ABS(D44)&lt;$B$16,"✓ In line",IF(C44&gt;B44,"▲ Above model","▼ Below model")))</t>
  </si>
  <si>
    <t>=IF(C45="","(awaiting)",IF(ABS(D45)&lt;$B$16,"✓ In line",IF(C45&gt;B45,"▲ Above model","▼ Below model")))</t>
  </si>
  <si>
    <t>=IF(C46="","(awaiting)",IF(ABS(D46)&lt;$B$16,"✓ In line",IF(C46&gt;B46,"▲ Above model","▼ Below model")))</t>
  </si>
  <si>
    <t>=IF(C47="","(awaiting)",IF(ABS(D47)&lt;$B$16,"✓ In line",IF(C47&gt;B47,"▲ Above model","▼ Below model")))</t>
  </si>
  <si>
    <t>=IF(C48="","(awaiting)",IF(ABS(D48)&lt;$B$16,"✓ In line",IF(C48&gt;B48,"▲ Above model","▼ Below model")))</t>
  </si>
  <si>
    <t>=IF(C52="","(awaiting)",IF(ABS(D52)&lt;$B$16,"✓ In line",IF(C52&gt;B52,"▲ Above model","▼ Below model")))</t>
  </si>
  <si>
    <t>=IF(C53="","(awaiting)",IF(ABS(D53)&lt;$B$16,"✓ In line",IF(C53&gt;B53,"▲ Above model","▼ Below model")))</t>
  </si>
  <si>
    <t>=IF(C54="","(awaiting)",IF(ABS(D54)&lt;$B$16,"✓ In line",IF(C54&gt;B54,"▲ Above model","▼ Below model")))</t>
  </si>
  <si>
    <t>=IF(C55="","(awaiting)",IF(ABS(D55)&lt;$B$16,"✓ In line",IF(C55&gt;B55,"▲ Above model","▼ Below model")))</t>
  </si>
  <si>
    <t>=IF(C56="","(awaiting)",IF(ABS(D56)&lt;$B$16,"✓ In line",IF(C56&gt;B56,"▲ Above model","▼ Below model")))</t>
  </si>
  <si>
    <t>=IF(C57="","(awaiting)",IF(ABS(D57)&lt;$B$16,"✓ In line",IF(C57&gt;B57,"▲ Above model","▼ Below model")))</t>
  </si>
  <si>
    <t>=IF(C58="","(awaiting)",IF(ABS(D58)&lt;$B$16,"✓ In line",IF(C58&gt;B58,"▲ Above model","▼ Below model")))</t>
  </si>
  <si>
    <t>Committed: dated schedule by year (row 10); Total column = all commitments incl. undated (row 19)</t>
  </si>
  <si>
    <t xml:space="preserve">Anthropic, PBC (Claude)  |  $ANT  |  Valuation Executive Summary  </t>
  </si>
  <si>
    <t>Created by: Rifat Tahmid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</si>
</sst>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quot;$&quot;#,##0;\(&quot;$&quot;#,##0\);&quot;-&quot;"/>
    <numFmt numFmtId="165" formatCode="&quot;$&quot;#,##0.00;\(&quot;$&quot;#,##0.00\);&quot;-&quot;"/>
    <numFmt numFmtId="166" formatCode="#,##0;\(#,##0\);&quot;-&quot;"/>
    <numFmt numFmtId="167" formatCode="0;\(0\);&quot;✓&quot;"/>
    <numFmt numFmtId="168" formatCode="0.0%;\(0.0%\);&quot;-&quot;"/>
    <numFmt numFmtId="169" formatCode="&quot;$&quot;#,##0.0"/>
    <numFmt numFmtId="170" formatCode="&quot;$&quot;#,##0.0000"/>
    <numFmt numFmtId="171" formatCode="0.0%"/>
    <numFmt numFmtId="172" formatCode="&quot;$&quot;#,##0"/>
    <numFmt numFmtId="173" formatCode="0.0"/>
    <numFmt numFmtId="174" formatCode="&quot;$&quot;#,##0.00"/>
    <numFmt numFmtId="175" formatCode="0.0&quot;x&quot;"/>
    <numFmt numFmtId="176" formatCode="#,##0.0"/>
    <numFmt numFmtId="177" formatCode="d\-mmm\-yyyy"/>
    <numFmt numFmtId="178" formatCode="#,##0.00;\(#,##0.00\);&quot;-&quot;"/>
    <numFmt numFmtId="179" formatCode="0.0000"/>
    <numFmt numFmtId="180" formatCode="0.00&quot;x&quot;"/>
    <numFmt numFmtId="181" formatCode="\+0.0%;\-0.0%;0.0%"/>
    <numFmt numFmtId="182" formatCode="0.0\x"/>
    <numFmt numFmtId="183" formatCode="&quot;$&quot;#,##0.0;\(&quot;$&quot;#,##0.0\);&quot;-&quot;"/>
    <numFmt numFmtId="184" formatCode="&quot;As of &quot;d\-mmm\-yyyy"/>
    <numFmt numFmtId="185" formatCode="#,##0;\(#,##0\);\-"/>
  </numFmts>
  <fonts count="28" x14ac:knownFonts="1">
    <font>
      <sz val="11"/>
      <color theme="1"/>
      <name val="Aptos Narrow"/>
      <family val="2"/>
      <scheme val="minor"/>
    </font>
    <font>
      <sz val="11"/>
      <color theme="1"/>
      <name val="Calibri"/>
    </font>
    <font>
      <b/>
      <sz val="15"/>
      <color rgb="FF141413"/>
      <name val="Calibri"/>
    </font>
    <font>
      <i/>
      <sz val="11"/>
      <color theme="1"/>
      <name val="Calibri"/>
    </font>
    <font>
      <i/>
      <sz val="11"/>
      <color rgb="FFD97757"/>
      <name val="Calibri"/>
    </font>
    <font>
      <b/>
      <sz val="11"/>
      <color rgb="FFFFFFFF"/>
      <name val="Calibri"/>
    </font>
    <font>
      <sz val="11"/>
      <color rgb="FF0000FF"/>
      <name val="Calibri"/>
    </font>
    <font>
      <b/>
      <sz val="11"/>
      <color theme="1"/>
      <name val="Calibri"/>
    </font>
    <font>
      <b/>
      <sz val="11"/>
      <color rgb="FF0000FF"/>
      <name val="Calibri"/>
    </font>
    <font>
      <sz val="11"/>
      <color rgb="FF000000"/>
      <name val="Calibri"/>
    </font>
    <font>
      <i/>
      <sz val="11"/>
      <color rgb="FF87867F"/>
      <name val="Calibri"/>
    </font>
    <font>
      <b/>
      <i/>
      <sz val="11"/>
      <color theme="1"/>
      <name val="Calibri"/>
    </font>
    <font>
      <b/>
      <sz val="11"/>
      <color rgb="FF000000"/>
      <name val="Calibri"/>
    </font>
    <font>
      <sz val="9"/>
      <color indexed="81"/>
      <name val="Tahoma"/>
      <charset val="1"/>
    </font>
    <font>
      <b/>
      <sz val="9"/>
      <color indexed="81"/>
      <name val="Tahoma"/>
      <charset val="1"/>
    </font>
    <font>
      <sz val="11"/>
      <color rgb="FF008000"/>
      <name val="Calibri"/>
    </font>
    <font>
      <sz val="11"/>
      <color rgb="FF87867F"/>
      <name val="Calibri"/>
    </font>
    <font>
      <b/>
      <sz val="11"/>
      <color rgb="FF008000"/>
      <name val="Calibri"/>
    </font>
    <font>
      <b/>
      <sz val="14"/>
      <color rgb="FF0000FF"/>
      <name val="Calibri"/>
    </font>
    <font>
      <sz val="11"/>
      <color rgb="FF008000"/>
      <name val="Aptos Narrow"/>
      <family val="2"/>
      <scheme val="minor"/>
    </font>
    <font>
      <b/>
      <i/>
      <sz val="11"/>
      <color rgb="FF87867F"/>
      <name val="Calibri"/>
    </font>
    <font>
      <b/>
      <i/>
      <sz val="11"/>
      <color rgb="FFFFFFFF"/>
      <name val="Calibri"/>
    </font>
    <font>
      <i/>
      <sz val="11"/>
      <color rgb="FF008000"/>
      <name val="Calibri"/>
    </font>
    <font>
      <i/>
      <sz val="9"/>
      <color rgb="FF87867F"/>
      <name val="Calibri"/>
    </font>
    <font>
      <sz val="11"/>
      <color rgb="FF000000"/>
      <name val="Aptos Narrow"/>
      <family val="2"/>
      <scheme val="minor"/>
    </font>
    <font>
      <b/>
      <sz val="11"/>
      <color rgb="FFFFFFFF"/>
      <name val="Aptos Narrow"/>
      <family val="2"/>
      <scheme val="minor"/>
    </font>
    <font>
      <i/>
      <sz val="11"/>
      <color rgb="FF0000FF"/>
      <name val="Calibri"/>
    </font>
    <font>
      <i/>
      <sz val="9"/>
      <color rgb="FF87867F"/>
      <name val="Calibri"/>
      <family val="2"/>
    </font>
  </fonts>
  <fills count="6">
    <fill>
      <patternFill patternType="none"/>
    </fill>
    <fill>
      <patternFill patternType="gray125"/>
    </fill>
    <fill>
      <patternFill patternType="solid">
        <fgColor rgb="FF141413"/>
        <bgColor indexed="64"/>
      </patternFill>
    </fill>
    <fill>
      <patternFill patternType="solid">
        <fgColor rgb="FFD97757"/>
        <bgColor indexed="64"/>
      </patternFill>
    </fill>
    <fill>
      <patternFill patternType="solid">
        <fgColor rgb="FFF0EEE6"/>
        <bgColor indexed="64"/>
      </patternFill>
    </fill>
    <fill>
      <patternFill patternType="solid">
        <fgColor rgb="FFEBDBBC"/>
        <bgColor indexed="64"/>
      </patternFill>
    </fill>
  </fills>
  <borders count="3">
    <border>
      <left/>
      <right/>
      <top/>
      <bottom/>
      <diagonal/>
    </border>
    <border>
      <left/>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18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5" fillId="3" borderId="0" xfId="0" applyFont="1" applyFill="1"/>
    <xf numFmtId="0" fontId="5" fillId="3" borderId="0" xfId="0" applyFont="1" applyFill="1" applyAlignment="1">
      <alignment horizontal="right"/>
    </xf>
    <xf numFmtId="164" fontId="6" fillId="0" borderId="0" xfId="0" applyNumberFormat="1" applyFont="1" applyAlignment="1">
      <alignment horizontal="right"/>
    </xf>
    <xf numFmtId="164" fontId="1" fillId="0" borderId="0" xfId="0" applyNumberFormat="1" applyFont="1" applyAlignment="1">
      <alignment horizontal="right"/>
    </xf>
    <xf numFmtId="0" fontId="7" fillId="0" borderId="0" xfId="0" applyFont="1"/>
    <xf numFmtId="164" fontId="8" fillId="0" borderId="0" xfId="0" applyNumberFormat="1" applyFont="1" applyAlignment="1">
      <alignment horizontal="right"/>
    </xf>
    <xf numFmtId="164" fontId="7" fillId="0" borderId="0" xfId="0" applyNumberFormat="1" applyFont="1" applyAlignment="1">
      <alignment horizontal="right"/>
    </xf>
    <xf numFmtId="0" fontId="1" fillId="0" borderId="1" xfId="0" applyFont="1" applyBorder="1"/>
    <xf numFmtId="164" fontId="6" fillId="0" borderId="1" xfId="0" applyNumberFormat="1" applyFont="1" applyBorder="1" applyAlignment="1">
      <alignment horizontal="right"/>
    </xf>
    <xf numFmtId="164" fontId="1" fillId="0" borderId="1" xfId="0" applyNumberFormat="1" applyFont="1" applyBorder="1" applyAlignment="1">
      <alignment horizontal="right"/>
    </xf>
    <xf numFmtId="0" fontId="7" fillId="0" borderId="1" xfId="0" applyFont="1" applyBorder="1"/>
    <xf numFmtId="164" fontId="8" fillId="0" borderId="1" xfId="0" applyNumberFormat="1" applyFont="1" applyBorder="1" applyAlignment="1">
      <alignment horizontal="right"/>
    </xf>
    <xf numFmtId="164" fontId="7" fillId="0" borderId="1" xfId="0" applyNumberFormat="1" applyFont="1" applyBorder="1" applyAlignment="1">
      <alignment horizontal="right"/>
    </xf>
    <xf numFmtId="165" fontId="6" fillId="0" borderId="0" xfId="0" applyNumberFormat="1" applyFont="1" applyAlignment="1">
      <alignment horizontal="right"/>
    </xf>
    <xf numFmtId="165" fontId="1" fillId="0" borderId="0" xfId="0" applyNumberFormat="1" applyFont="1" applyAlignment="1">
      <alignment horizontal="right"/>
    </xf>
    <xf numFmtId="166" fontId="6" fillId="0" borderId="0" xfId="0" applyNumberFormat="1" applyFont="1" applyAlignment="1">
      <alignment horizontal="right"/>
    </xf>
    <xf numFmtId="166" fontId="1" fillId="0" borderId="0" xfId="0" applyNumberFormat="1" applyFont="1" applyAlignment="1">
      <alignment horizontal="right"/>
    </xf>
    <xf numFmtId="0" fontId="9" fillId="0" borderId="0" xfId="0" applyFont="1"/>
    <xf numFmtId="0" fontId="10" fillId="0" borderId="0" xfId="0" applyFont="1"/>
    <xf numFmtId="167" fontId="10" fillId="0" borderId="0" xfId="0" applyNumberFormat="1" applyFont="1" applyAlignment="1">
      <alignment horizontal="right"/>
    </xf>
    <xf numFmtId="0" fontId="1" fillId="4" borderId="0" xfId="0" applyFont="1" applyFill="1"/>
    <xf numFmtId="0" fontId="7" fillId="4" borderId="0" xfId="0" applyFont="1" applyFill="1"/>
    <xf numFmtId="0" fontId="11" fillId="4" borderId="0" xfId="0" applyFont="1" applyFill="1"/>
    <xf numFmtId="164" fontId="9" fillId="0" borderId="0" xfId="0" applyNumberFormat="1" applyFont="1"/>
    <xf numFmtId="164" fontId="9" fillId="0" borderId="0" xfId="0" applyNumberFormat="1" applyFont="1" applyAlignment="1">
      <alignment horizontal="right"/>
    </xf>
    <xf numFmtId="168" fontId="9" fillId="0" borderId="0" xfId="0" applyNumberFormat="1" applyFont="1" applyAlignment="1">
      <alignment horizontal="right"/>
    </xf>
    <xf numFmtId="9" fontId="6" fillId="0" borderId="0" xfId="0" applyNumberFormat="1" applyFont="1" applyAlignment="1">
      <alignment horizontal="right"/>
    </xf>
    <xf numFmtId="9" fontId="1" fillId="0" borderId="0" xfId="0" applyNumberFormat="1" applyFont="1" applyAlignment="1">
      <alignment horizontal="right"/>
    </xf>
    <xf numFmtId="164" fontId="12" fillId="0" borderId="0" xfId="0" applyNumberFormat="1" applyFont="1" applyAlignment="1">
      <alignment horizontal="right"/>
    </xf>
    <xf numFmtId="169" fontId="6" fillId="0" borderId="0" xfId="0" applyNumberFormat="1" applyFont="1" applyAlignment="1">
      <alignment horizontal="right"/>
    </xf>
    <xf numFmtId="169" fontId="1" fillId="0" borderId="0" xfId="0" applyNumberFormat="1" applyFont="1" applyAlignment="1">
      <alignment horizontal="right"/>
    </xf>
    <xf numFmtId="164" fontId="10" fillId="0" borderId="0" xfId="0" applyNumberFormat="1" applyFont="1" applyAlignment="1">
      <alignment horizontal="right"/>
    </xf>
    <xf numFmtId="170" fontId="6" fillId="0" borderId="0" xfId="0" applyNumberFormat="1" applyFont="1" applyAlignment="1">
      <alignment horizontal="right"/>
    </xf>
    <xf numFmtId="3" fontId="6" fillId="0" borderId="0" xfId="0" applyNumberFormat="1" applyFont="1" applyAlignment="1">
      <alignment horizontal="right"/>
    </xf>
    <xf numFmtId="0" fontId="15" fillId="0" borderId="0" xfId="0" applyFont="1"/>
    <xf numFmtId="168" fontId="15" fillId="0" borderId="0" xfId="0" applyNumberFormat="1" applyFont="1" applyAlignment="1">
      <alignment horizontal="right"/>
    </xf>
    <xf numFmtId="171" fontId="6" fillId="0" borderId="0" xfId="0" applyNumberFormat="1" applyFont="1"/>
    <xf numFmtId="171" fontId="6" fillId="0" borderId="0" xfId="0" applyNumberFormat="1" applyFont="1" applyAlignment="1">
      <alignment horizontal="right"/>
    </xf>
    <xf numFmtId="0" fontId="16" fillId="0" borderId="0" xfId="0" applyFont="1" applyAlignment="1">
      <alignment horizontal="right"/>
    </xf>
    <xf numFmtId="172" fontId="6" fillId="0" borderId="0" xfId="0" applyNumberFormat="1" applyFont="1" applyAlignment="1">
      <alignment horizontal="right"/>
    </xf>
    <xf numFmtId="173" fontId="6" fillId="0" borderId="0" xfId="0" applyNumberFormat="1" applyFont="1" applyAlignment="1">
      <alignment horizontal="right"/>
    </xf>
    <xf numFmtId="174" fontId="6" fillId="0" borderId="0" xfId="0" applyNumberFormat="1" applyFont="1" applyAlignment="1">
      <alignment horizontal="right"/>
    </xf>
    <xf numFmtId="175" fontId="6" fillId="0" borderId="0" xfId="0" applyNumberFormat="1" applyFont="1" applyAlignment="1">
      <alignment horizontal="right"/>
    </xf>
    <xf numFmtId="10" fontId="1" fillId="0" borderId="0" xfId="0" applyNumberFormat="1" applyFont="1" applyAlignment="1">
      <alignment horizontal="right"/>
    </xf>
    <xf numFmtId="10" fontId="6" fillId="0" borderId="0" xfId="0" applyNumberFormat="1" applyFont="1" applyAlignment="1">
      <alignment horizontal="right"/>
    </xf>
    <xf numFmtId="2" fontId="1" fillId="0" borderId="0" xfId="0" applyNumberFormat="1" applyFont="1" applyAlignment="1">
      <alignment horizontal="right"/>
    </xf>
    <xf numFmtId="2" fontId="15" fillId="0" borderId="0" xfId="0" applyNumberFormat="1" applyFont="1" applyAlignment="1">
      <alignment horizontal="right"/>
    </xf>
    <xf numFmtId="2" fontId="6" fillId="0" borderId="0" xfId="0" applyNumberFormat="1" applyFont="1" applyAlignment="1">
      <alignment horizontal="right"/>
    </xf>
    <xf numFmtId="2" fontId="9" fillId="0" borderId="0" xfId="0" applyNumberFormat="1" applyFont="1" applyAlignment="1">
      <alignment horizontal="right"/>
    </xf>
    <xf numFmtId="10" fontId="9" fillId="0" borderId="0" xfId="0" applyNumberFormat="1" applyFont="1" applyAlignment="1">
      <alignment horizontal="right"/>
    </xf>
    <xf numFmtId="171" fontId="1" fillId="0" borderId="0" xfId="0" applyNumberFormat="1" applyFont="1" applyAlignment="1">
      <alignment horizontal="right"/>
    </xf>
    <xf numFmtId="171" fontId="9" fillId="0" borderId="0" xfId="0" applyNumberFormat="1" applyFont="1" applyAlignment="1">
      <alignment horizontal="right"/>
    </xf>
    <xf numFmtId="10" fontId="12" fillId="0" borderId="0" xfId="0" applyNumberFormat="1" applyFont="1" applyAlignment="1">
      <alignment horizontal="right"/>
    </xf>
    <xf numFmtId="10" fontId="12" fillId="4" borderId="0" xfId="0" applyNumberFormat="1" applyFont="1" applyFill="1" applyAlignment="1">
      <alignment horizontal="right"/>
    </xf>
    <xf numFmtId="171" fontId="15" fillId="0" borderId="0" xfId="0" applyNumberFormat="1" applyFont="1"/>
    <xf numFmtId="171" fontId="15" fillId="0" borderId="0" xfId="0" applyNumberFormat="1" applyFont="1" applyAlignment="1">
      <alignment horizontal="right"/>
    </xf>
    <xf numFmtId="175" fontId="15" fillId="0" borderId="0" xfId="0" applyNumberFormat="1" applyFont="1" applyAlignment="1">
      <alignment horizontal="right"/>
    </xf>
    <xf numFmtId="9" fontId="15" fillId="0" borderId="0" xfId="0" applyNumberFormat="1" applyFont="1" applyAlignment="1">
      <alignment horizontal="right"/>
    </xf>
    <xf numFmtId="9" fontId="10" fillId="0" borderId="0" xfId="0" applyNumberFormat="1" applyFont="1"/>
    <xf numFmtId="176" fontId="15" fillId="0" borderId="0" xfId="0" applyNumberFormat="1" applyFont="1" applyAlignment="1">
      <alignment horizontal="right"/>
    </xf>
    <xf numFmtId="176" fontId="9" fillId="0" borderId="0" xfId="0" applyNumberFormat="1" applyFont="1" applyAlignment="1">
      <alignment horizontal="right"/>
    </xf>
    <xf numFmtId="172" fontId="1" fillId="0" borderId="0" xfId="0" applyNumberFormat="1" applyFont="1" applyAlignment="1">
      <alignment horizontal="right"/>
    </xf>
    <xf numFmtId="172" fontId="15" fillId="0" borderId="0" xfId="0" applyNumberFormat="1" applyFont="1" applyAlignment="1">
      <alignment horizontal="right"/>
    </xf>
    <xf numFmtId="174" fontId="1" fillId="0" borderId="0" xfId="0" applyNumberFormat="1" applyFont="1" applyAlignment="1">
      <alignment horizontal="right"/>
    </xf>
    <xf numFmtId="174" fontId="15" fillId="0" borderId="0" xfId="0" applyNumberFormat="1" applyFont="1" applyAlignment="1">
      <alignment horizontal="right"/>
    </xf>
    <xf numFmtId="176" fontId="6" fillId="0" borderId="0" xfId="0" applyNumberFormat="1" applyFont="1" applyAlignment="1">
      <alignment horizontal="right"/>
    </xf>
    <xf numFmtId="172" fontId="9" fillId="0" borderId="0" xfId="0" applyNumberFormat="1" applyFont="1" applyAlignment="1">
      <alignment horizontal="right"/>
    </xf>
    <xf numFmtId="176" fontId="12" fillId="4" borderId="0" xfId="0" applyNumberFormat="1" applyFont="1" applyFill="1" applyAlignment="1">
      <alignment horizontal="right"/>
    </xf>
    <xf numFmtId="172" fontId="12" fillId="4" borderId="0" xfId="0" applyNumberFormat="1" applyFont="1" applyFill="1" applyAlignment="1">
      <alignment horizontal="right"/>
    </xf>
    <xf numFmtId="168" fontId="1" fillId="0" borderId="0" xfId="0" applyNumberFormat="1" applyFont="1" applyAlignment="1">
      <alignment horizontal="right"/>
    </xf>
    <xf numFmtId="164" fontId="15" fillId="0" borderId="0" xfId="0" applyNumberFormat="1" applyFont="1"/>
    <xf numFmtId="164" fontId="15" fillId="0" borderId="0" xfId="0" applyNumberFormat="1" applyFont="1" applyAlignment="1">
      <alignment horizontal="right"/>
    </xf>
    <xf numFmtId="166" fontId="15" fillId="0" borderId="0" xfId="0" applyNumberFormat="1" applyFont="1" applyAlignment="1">
      <alignment horizontal="right"/>
    </xf>
    <xf numFmtId="173" fontId="15" fillId="0" borderId="0" xfId="0" applyNumberFormat="1" applyFont="1"/>
    <xf numFmtId="173" fontId="1" fillId="0" borderId="0" xfId="0" applyNumberFormat="1" applyFont="1" applyAlignment="1">
      <alignment horizontal="right"/>
    </xf>
    <xf numFmtId="173" fontId="15" fillId="0" borderId="0" xfId="0" applyNumberFormat="1" applyFont="1" applyAlignment="1">
      <alignment horizontal="right"/>
    </xf>
    <xf numFmtId="174" fontId="15" fillId="0" borderId="0" xfId="0" applyNumberFormat="1" applyFont="1"/>
    <xf numFmtId="175" fontId="1" fillId="0" borderId="0" xfId="0" applyNumberFormat="1" applyFont="1" applyAlignment="1">
      <alignment horizontal="right"/>
    </xf>
    <xf numFmtId="10" fontId="15" fillId="0" borderId="0" xfId="0" applyNumberFormat="1" applyFont="1" applyAlignment="1">
      <alignment horizontal="right"/>
    </xf>
    <xf numFmtId="49" fontId="9" fillId="0" borderId="0" xfId="0" applyNumberFormat="1" applyFont="1" applyAlignment="1">
      <alignment horizontal="right"/>
    </xf>
    <xf numFmtId="49" fontId="1" fillId="0" borderId="0" xfId="0" applyNumberFormat="1" applyFont="1" applyAlignment="1">
      <alignment horizontal="right"/>
    </xf>
    <xf numFmtId="164" fontId="17" fillId="0" borderId="0" xfId="0" applyNumberFormat="1" applyFont="1" applyAlignment="1">
      <alignment horizontal="right"/>
    </xf>
    <xf numFmtId="166" fontId="9" fillId="0" borderId="0" xfId="0" applyNumberFormat="1" applyFont="1" applyAlignment="1">
      <alignment horizontal="right"/>
    </xf>
    <xf numFmtId="174" fontId="9" fillId="0" borderId="0" xfId="0" applyNumberFormat="1" applyFont="1" applyAlignment="1">
      <alignment horizontal="right"/>
    </xf>
    <xf numFmtId="178" fontId="1" fillId="0" borderId="0" xfId="0" applyNumberFormat="1" applyFont="1" applyAlignment="1">
      <alignment horizontal="right"/>
    </xf>
    <xf numFmtId="178" fontId="9" fillId="0" borderId="0" xfId="0" applyNumberFormat="1" applyFont="1" applyAlignment="1">
      <alignment horizontal="right"/>
    </xf>
    <xf numFmtId="178" fontId="6" fillId="0" borderId="0" xfId="0" applyNumberFormat="1" applyFont="1" applyAlignment="1">
      <alignment horizontal="right"/>
    </xf>
    <xf numFmtId="169" fontId="9" fillId="0" borderId="0" xfId="0" applyNumberFormat="1" applyFont="1" applyAlignment="1">
      <alignment horizontal="right"/>
    </xf>
    <xf numFmtId="167" fontId="15" fillId="0" borderId="0" xfId="0" applyNumberFormat="1" applyFont="1" applyAlignment="1">
      <alignment horizontal="right"/>
    </xf>
    <xf numFmtId="167" fontId="1" fillId="0" borderId="0" xfId="0" applyNumberFormat="1" applyFont="1" applyAlignment="1">
      <alignment horizontal="right"/>
    </xf>
    <xf numFmtId="164" fontId="7" fillId="4" borderId="0" xfId="0" applyNumberFormat="1" applyFont="1" applyFill="1" applyAlignment="1">
      <alignment horizontal="right"/>
    </xf>
    <xf numFmtId="164" fontId="12" fillId="4" borderId="0" xfId="0" applyNumberFormat="1" applyFont="1" applyFill="1" applyAlignment="1">
      <alignment horizontal="right"/>
    </xf>
    <xf numFmtId="179" fontId="1" fillId="0" borderId="0" xfId="0" applyNumberFormat="1" applyFont="1" applyAlignment="1">
      <alignment horizontal="right"/>
    </xf>
    <xf numFmtId="179" fontId="9" fillId="0" borderId="0" xfId="0" applyNumberFormat="1" applyFont="1" applyAlignment="1">
      <alignment horizontal="right"/>
    </xf>
    <xf numFmtId="0" fontId="18" fillId="0" borderId="0" xfId="0" applyFont="1" applyAlignment="1">
      <alignment horizontal="right"/>
    </xf>
    <xf numFmtId="165" fontId="9" fillId="0" borderId="0" xfId="0" applyNumberFormat="1" applyFont="1" applyAlignment="1">
      <alignment horizontal="right"/>
    </xf>
    <xf numFmtId="165" fontId="12" fillId="4" borderId="0" xfId="0" applyNumberFormat="1" applyFont="1" applyFill="1" applyAlignment="1">
      <alignment horizontal="right"/>
    </xf>
    <xf numFmtId="165" fontId="15" fillId="0" borderId="0" xfId="0" applyNumberFormat="1" applyFont="1" applyAlignment="1">
      <alignment horizontal="right"/>
    </xf>
    <xf numFmtId="168" fontId="12" fillId="0" borderId="0" xfId="0" applyNumberFormat="1" applyFont="1" applyAlignment="1">
      <alignment horizontal="right"/>
    </xf>
    <xf numFmtId="175" fontId="9" fillId="0" borderId="0" xfId="0" applyNumberFormat="1" applyFont="1" applyAlignment="1">
      <alignment horizontal="right"/>
    </xf>
    <xf numFmtId="175" fontId="12" fillId="0" borderId="0" xfId="0" applyNumberFormat="1" applyFont="1" applyAlignment="1">
      <alignment horizontal="right"/>
    </xf>
    <xf numFmtId="168" fontId="12" fillId="4" borderId="0" xfId="0" applyNumberFormat="1" applyFont="1" applyFill="1" applyAlignment="1">
      <alignment horizontal="right"/>
    </xf>
    <xf numFmtId="171" fontId="5" fillId="3" borderId="0" xfId="0" applyNumberFormat="1" applyFont="1" applyFill="1" applyAlignment="1">
      <alignment horizontal="right"/>
    </xf>
    <xf numFmtId="10" fontId="7" fillId="0" borderId="0" xfId="0" applyNumberFormat="1" applyFont="1" applyAlignment="1">
      <alignment horizontal="right"/>
    </xf>
    <xf numFmtId="175" fontId="5" fillId="3" borderId="0" xfId="0" applyNumberFormat="1" applyFont="1" applyFill="1" applyAlignment="1">
      <alignment horizontal="right"/>
    </xf>
    <xf numFmtId="10" fontId="19" fillId="0" borderId="0" xfId="0" applyNumberFormat="1" applyFont="1" applyAlignment="1">
      <alignment horizontal="right"/>
    </xf>
    <xf numFmtId="4" fontId="15" fillId="0" borderId="0" xfId="0" applyNumberFormat="1" applyFont="1" applyAlignment="1">
      <alignment horizontal="right"/>
    </xf>
    <xf numFmtId="49" fontId="15" fillId="0" borderId="0" xfId="0" applyNumberFormat="1" applyFont="1" applyAlignment="1">
      <alignment horizontal="right"/>
    </xf>
    <xf numFmtId="0" fontId="1" fillId="0" borderId="0" xfId="0" applyFont="1" applyAlignment="1"/>
    <xf numFmtId="0" fontId="1" fillId="0" borderId="0" xfId="0" applyFont="1" applyAlignment="1">
      <alignment horizontal="right"/>
    </xf>
    <xf numFmtId="0" fontId="7" fillId="4" borderId="0" xfId="0" applyFont="1" applyFill="1" applyAlignment="1">
      <alignment horizontal="right"/>
    </xf>
    <xf numFmtId="171" fontId="7" fillId="4" borderId="0" xfId="0" applyNumberFormat="1" applyFont="1" applyFill="1" applyAlignment="1">
      <alignment horizontal="right"/>
    </xf>
    <xf numFmtId="175" fontId="7" fillId="4" borderId="0" xfId="0" applyNumberFormat="1" applyFont="1" applyFill="1" applyAlignment="1">
      <alignment horizontal="right"/>
    </xf>
    <xf numFmtId="2" fontId="7" fillId="4" borderId="0" xfId="0" applyNumberFormat="1" applyFont="1" applyFill="1" applyAlignment="1">
      <alignment horizontal="right"/>
    </xf>
    <xf numFmtId="0" fontId="5" fillId="2" borderId="0" xfId="0" applyFont="1" applyFill="1" applyAlignment="1">
      <alignment horizontal="right"/>
    </xf>
    <xf numFmtId="164" fontId="5" fillId="2" borderId="0" xfId="0" applyNumberFormat="1" applyFont="1" applyFill="1" applyAlignment="1">
      <alignment horizontal="right"/>
    </xf>
    <xf numFmtId="171" fontId="5" fillId="2" borderId="0" xfId="0" applyNumberFormat="1" applyFont="1" applyFill="1" applyAlignment="1">
      <alignment horizontal="right"/>
    </xf>
    <xf numFmtId="175" fontId="5" fillId="2" borderId="0" xfId="0" applyNumberFormat="1" applyFont="1" applyFill="1" applyAlignment="1">
      <alignment horizontal="right"/>
    </xf>
    <xf numFmtId="2" fontId="5" fillId="2" borderId="0" xfId="0" applyNumberFormat="1" applyFont="1" applyFill="1" applyAlignment="1">
      <alignment horizontal="right"/>
    </xf>
    <xf numFmtId="165" fontId="17" fillId="0" borderId="0" xfId="0" applyNumberFormat="1" applyFont="1" applyAlignment="1">
      <alignment horizontal="right"/>
    </xf>
    <xf numFmtId="180" fontId="1" fillId="0" borderId="0" xfId="0" applyNumberFormat="1" applyFont="1" applyAlignment="1">
      <alignment horizontal="right"/>
    </xf>
    <xf numFmtId="180" fontId="15" fillId="0" borderId="0" xfId="0" applyNumberFormat="1" applyFont="1" applyAlignment="1">
      <alignment horizontal="right"/>
    </xf>
    <xf numFmtId="0" fontId="7" fillId="4" borderId="1" xfId="0" applyFont="1" applyFill="1" applyBorder="1"/>
    <xf numFmtId="165" fontId="12" fillId="4" borderId="1" xfId="0" applyNumberFormat="1" applyFont="1" applyFill="1" applyBorder="1" applyAlignment="1">
      <alignment horizontal="right"/>
    </xf>
    <xf numFmtId="168" fontId="12" fillId="4" borderId="1" xfId="0" applyNumberFormat="1" applyFont="1" applyFill="1" applyBorder="1" applyAlignment="1">
      <alignment horizontal="right"/>
    </xf>
    <xf numFmtId="9" fontId="9" fillId="4" borderId="1" xfId="0" applyNumberFormat="1" applyFont="1" applyFill="1" applyBorder="1" applyAlignment="1">
      <alignment horizontal="right"/>
    </xf>
    <xf numFmtId="180" fontId="12" fillId="4" borderId="1" xfId="0" applyNumberFormat="1" applyFont="1" applyFill="1" applyBorder="1" applyAlignment="1">
      <alignment horizontal="right"/>
    </xf>
    <xf numFmtId="181" fontId="9" fillId="0" borderId="0" xfId="0" applyNumberFormat="1" applyFont="1" applyAlignment="1">
      <alignment horizontal="right"/>
    </xf>
    <xf numFmtId="0" fontId="10" fillId="4" borderId="0" xfId="0" applyFont="1" applyFill="1"/>
    <xf numFmtId="0" fontId="5" fillId="3" borderId="0" xfId="0" applyFont="1" applyFill="1" applyAlignment="1">
      <alignment horizontal="left"/>
    </xf>
    <xf numFmtId="3" fontId="15" fillId="0" borderId="0" xfId="0" applyNumberFormat="1" applyFont="1" applyAlignment="1">
      <alignment horizontal="right"/>
    </xf>
    <xf numFmtId="0" fontId="17" fillId="4" borderId="0" xfId="0" applyFont="1" applyFill="1"/>
    <xf numFmtId="165" fontId="17" fillId="4" borderId="0" xfId="0" applyNumberFormat="1" applyFont="1" applyFill="1" applyAlignment="1">
      <alignment horizontal="right"/>
    </xf>
    <xf numFmtId="0" fontId="20" fillId="2" borderId="0" xfId="0" applyFont="1" applyFill="1"/>
    <xf numFmtId="0" fontId="20" fillId="3" borderId="0" xfId="0" applyFont="1" applyFill="1"/>
    <xf numFmtId="171" fontId="12" fillId="3" borderId="0" xfId="0" applyNumberFormat="1" applyFont="1" applyFill="1" applyAlignment="1">
      <alignment horizontal="right"/>
    </xf>
    <xf numFmtId="175" fontId="12" fillId="3" borderId="0" xfId="0" applyNumberFormat="1" applyFont="1" applyFill="1" applyAlignment="1">
      <alignment horizontal="right"/>
    </xf>
    <xf numFmtId="172" fontId="9" fillId="0" borderId="0" xfId="0" applyNumberFormat="1" applyFont="1" applyFill="1" applyAlignment="1">
      <alignment horizontal="right"/>
    </xf>
    <xf numFmtId="164" fontId="15" fillId="0" borderId="0" xfId="0" applyNumberFormat="1" applyFont="1" applyFill="1" applyAlignment="1">
      <alignment horizontal="right"/>
    </xf>
    <xf numFmtId="2" fontId="6" fillId="0" borderId="0" xfId="0" applyNumberFormat="1" applyFont="1" applyFill="1" applyAlignment="1">
      <alignment horizontal="right"/>
    </xf>
    <xf numFmtId="2" fontId="9" fillId="0" borderId="0" xfId="0" applyNumberFormat="1" applyFont="1" applyFill="1" applyAlignment="1">
      <alignment horizontal="right"/>
    </xf>
    <xf numFmtId="179" fontId="15" fillId="0" borderId="0" xfId="0" applyNumberFormat="1" applyFont="1" applyFill="1" applyAlignment="1">
      <alignment horizontal="right"/>
    </xf>
    <xf numFmtId="182" fontId="6" fillId="0" borderId="0" xfId="0" applyNumberFormat="1" applyFont="1"/>
    <xf numFmtId="0" fontId="12" fillId="4" borderId="0" xfId="0" applyNumberFormat="1" applyFont="1" applyFill="1" applyAlignment="1">
      <alignment horizontal="left"/>
    </xf>
    <xf numFmtId="168" fontId="17" fillId="0" borderId="0" xfId="0" applyNumberFormat="1" applyFont="1" applyAlignment="1">
      <alignment horizontal="right"/>
    </xf>
    <xf numFmtId="183" fontId="15" fillId="0" borderId="0" xfId="0" applyNumberFormat="1" applyFont="1" applyAlignment="1">
      <alignment horizontal="right"/>
    </xf>
    <xf numFmtId="0" fontId="11" fillId="0" borderId="0" xfId="0" applyFont="1"/>
    <xf numFmtId="0" fontId="7" fillId="0" borderId="0" xfId="0" applyFont="1" applyAlignment="1">
      <alignment horizontal="left"/>
    </xf>
    <xf numFmtId="0" fontId="21" fillId="3" borderId="0" xfId="0" applyFont="1" applyFill="1" applyAlignment="1"/>
    <xf numFmtId="0" fontId="22" fillId="0" borderId="0" xfId="0" applyFont="1"/>
    <xf numFmtId="0" fontId="23" fillId="0" borderId="0" xfId="0" applyFont="1"/>
    <xf numFmtId="164" fontId="9" fillId="0" borderId="0" xfId="0" applyNumberFormat="1" applyFont="1" applyFill="1" applyAlignment="1">
      <alignment horizontal="right"/>
    </xf>
    <xf numFmtId="164" fontId="6" fillId="0" borderId="0" xfId="0" applyNumberFormat="1" applyFont="1" applyFill="1" applyAlignment="1">
      <alignment horizontal="right"/>
    </xf>
    <xf numFmtId="171" fontId="9" fillId="0" borderId="0" xfId="0" applyNumberFormat="1" applyFont="1" applyFill="1" applyAlignment="1">
      <alignment horizontal="right"/>
    </xf>
    <xf numFmtId="164" fontId="6" fillId="0" borderId="0" xfId="0" applyNumberFormat="1" applyFont="1" applyFill="1"/>
    <xf numFmtId="180" fontId="6" fillId="0" borderId="0" xfId="0" applyNumberFormat="1" applyFont="1" applyFill="1"/>
    <xf numFmtId="176" fontId="9" fillId="0" borderId="0" xfId="0" applyNumberFormat="1" applyFont="1" applyFill="1" applyAlignment="1">
      <alignment horizontal="right"/>
    </xf>
    <xf numFmtId="184" fontId="1" fillId="0" borderId="0" xfId="0" applyNumberFormat="1" applyFont="1"/>
    <xf numFmtId="174" fontId="17" fillId="5" borderId="0" xfId="0" applyNumberFormat="1" applyFont="1" applyFill="1"/>
    <xf numFmtId="171" fontId="15" fillId="5" borderId="0" xfId="0" applyNumberFormat="1" applyFont="1" applyFill="1" applyAlignment="1">
      <alignment horizontal="right"/>
    </xf>
    <xf numFmtId="9" fontId="6" fillId="5" borderId="0" xfId="0" applyNumberFormat="1" applyFont="1" applyFill="1" applyAlignment="1">
      <alignment horizontal="right"/>
    </xf>
    <xf numFmtId="165" fontId="7" fillId="5" borderId="2" xfId="0" applyNumberFormat="1" applyFont="1" applyFill="1" applyBorder="1" applyAlignment="1">
      <alignment horizontal="right"/>
    </xf>
    <xf numFmtId="165" fontId="12" fillId="5" borderId="2" xfId="0" applyNumberFormat="1" applyFont="1" applyFill="1" applyBorder="1" applyAlignment="1">
      <alignment horizontal="right"/>
    </xf>
    <xf numFmtId="171" fontId="6" fillId="5" borderId="0" xfId="0" applyNumberFormat="1" applyFont="1" applyFill="1" applyAlignment="1">
      <alignment horizontal="right"/>
    </xf>
    <xf numFmtId="172" fontId="6" fillId="5" borderId="0" xfId="0" applyNumberFormat="1" applyFont="1" applyFill="1" applyAlignment="1">
      <alignment horizontal="right"/>
    </xf>
    <xf numFmtId="0" fontId="10" fillId="0" borderId="0" xfId="0" applyFont="1" applyAlignment="1"/>
    <xf numFmtId="0" fontId="20" fillId="2" borderId="0" xfId="0" applyFont="1" applyFill="1" applyAlignment="1"/>
    <xf numFmtId="0" fontId="6" fillId="5" borderId="0" xfId="0" applyFont="1" applyFill="1" applyAlignment="1">
      <alignment horizontal="right"/>
    </xf>
    <xf numFmtId="177" fontId="6" fillId="5" borderId="0" xfId="0" applyNumberFormat="1" applyFont="1" applyFill="1" applyAlignment="1">
      <alignment horizontal="right"/>
    </xf>
    <xf numFmtId="0" fontId="25" fillId="2" borderId="0" xfId="0" applyFont="1" applyFill="1"/>
    <xf numFmtId="0" fontId="25" fillId="3" borderId="0" xfId="0" applyFont="1" applyFill="1" applyAlignment="1">
      <alignment horizontal="right"/>
    </xf>
    <xf numFmtId="164" fontId="19" fillId="0" borderId="0" xfId="0" applyNumberFormat="1" applyFont="1"/>
    <xf numFmtId="164" fontId="24" fillId="0" borderId="0" xfId="0" applyNumberFormat="1" applyFont="1"/>
    <xf numFmtId="185" fontId="9" fillId="0" borderId="0" xfId="0" applyNumberFormat="1" applyFont="1" applyAlignment="1"/>
    <xf numFmtId="15" fontId="26" fillId="0" borderId="0" xfId="0" applyNumberFormat="1" applyFont="1"/>
    <xf numFmtId="164" fontId="26" fillId="0" borderId="0" xfId="0" applyNumberFormat="1" applyFont="1" applyFill="1" applyAlignment="1">
      <alignment horizontal="right"/>
    </xf>
    <xf numFmtId="171" fontId="6" fillId="0" borderId="0" xfId="0" applyNumberFormat="1" applyFont="1" applyFill="1" applyAlignment="1">
      <alignment horizontal="right"/>
    </xf>
    <xf numFmtId="0" fontId="27"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41413"/>
                </a:solidFill>
                <a:latin typeface="Calibri"/>
                <a:ea typeface="Calibri"/>
                <a:cs typeface="Calibri"/>
              </a:defRPr>
            </a:pPr>
            <a:r>
              <a:rPr lang="en-US"/>
              <a:t>Quarterly revenue ($M) and adjusted operating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41413"/>
              </a:solidFill>
              <a:latin typeface="Calibri"/>
              <a:ea typeface="Calibri"/>
              <a:cs typeface="Calibri"/>
            </a:defRPr>
          </a:pPr>
          <a:endParaRPr lang="en-US"/>
        </a:p>
      </c:txPr>
    </c:title>
    <c:autoTitleDeleted val="0"/>
    <c:plotArea>
      <c:layout/>
      <c:barChart>
        <c:barDir val="col"/>
        <c:grouping val="clustered"/>
        <c:varyColors val="0"/>
        <c:ser>
          <c:idx val="0"/>
          <c:order val="0"/>
          <c:tx>
            <c:strRef>
              <c:f>Graphs!$V$23</c:f>
              <c:strCache>
                <c:ptCount val="1"/>
                <c:pt idx="0">
                  <c:v>Revenue</c:v>
                </c:pt>
              </c:strCache>
            </c:strRef>
          </c:tx>
          <c:spPr>
            <a:solidFill>
              <a:srgbClr val="D97757"/>
            </a:solidFill>
            <a:ln>
              <a:noFill/>
            </a:ln>
            <a:effectLst/>
          </c:spPr>
          <c:invertIfNegative val="0"/>
          <c:cat>
            <c:strRef>
              <c:f>Graphs!$U$24:$U$35</c:f>
              <c:strCache>
                <c:ptCount val="12"/>
                <c:pt idx="0">
                  <c:v>Q1 2025A</c:v>
                </c:pt>
                <c:pt idx="1">
                  <c:v>Q2 2025A</c:v>
                </c:pt>
                <c:pt idx="2">
                  <c:v>Q3 2025A</c:v>
                </c:pt>
                <c:pt idx="3">
                  <c:v>Q4 2025A</c:v>
                </c:pt>
                <c:pt idx="4">
                  <c:v>Q1 2026A</c:v>
                </c:pt>
                <c:pt idx="5">
                  <c:v>Q2 2026A</c:v>
                </c:pt>
                <c:pt idx="6">
                  <c:v>Q3 2026A</c:v>
                </c:pt>
                <c:pt idx="7">
                  <c:v>Q4 2026A</c:v>
                </c:pt>
                <c:pt idx="8">
                  <c:v>Q1 2027A</c:v>
                </c:pt>
                <c:pt idx="9">
                  <c:v>Q2 2027A</c:v>
                </c:pt>
                <c:pt idx="10">
                  <c:v>Q3 2027A</c:v>
                </c:pt>
                <c:pt idx="11">
                  <c:v>Q4 2027A</c:v>
                </c:pt>
              </c:strCache>
            </c:strRef>
          </c:cat>
          <c:val>
            <c:numRef>
              <c:f>Graphs!$V$24:$V$35</c:f>
              <c:numCache>
                <c:formatCode>"$"#,##0;\("$"#,##0\);"-"</c:formatCode>
                <c:ptCount val="12"/>
                <c:pt idx="0">
                  <c:v>376</c:v>
                </c:pt>
                <c:pt idx="1">
                  <c:v>787</c:v>
                </c:pt>
                <c:pt idx="2">
                  <c:v>1382</c:v>
                </c:pt>
                <c:pt idx="3">
                  <c:v>2040</c:v>
                </c:pt>
                <c:pt idx="4">
                  <c:v>4731</c:v>
                </c:pt>
                <c:pt idx="5">
                  <c:v>11555</c:v>
                </c:pt>
                <c:pt idx="6">
                  <c:v>#N/A</c:v>
                </c:pt>
                <c:pt idx="7">
                  <c:v>#N/A</c:v>
                </c:pt>
                <c:pt idx="8">
                  <c:v>#N/A</c:v>
                </c:pt>
                <c:pt idx="9">
                  <c:v>#N/A</c:v>
                </c:pt>
                <c:pt idx="10">
                  <c:v>#N/A</c:v>
                </c:pt>
                <c:pt idx="11">
                  <c:v>#N/A</c:v>
                </c:pt>
              </c:numCache>
            </c:numRef>
          </c:val>
          <c:extLst>
            <c:ext xmlns:c16="http://schemas.microsoft.com/office/drawing/2014/chart" uri="{C3380CC4-5D6E-409C-BE32-E72D297353CC}">
              <c16:uniqueId val="{00000000-67DB-4A4C-A7D7-230EA6301CF8}"/>
            </c:ext>
          </c:extLst>
        </c:ser>
        <c:dLbls>
          <c:showLegendKey val="0"/>
          <c:showVal val="0"/>
          <c:showCatName val="0"/>
          <c:showSerName val="0"/>
          <c:showPercent val="0"/>
          <c:showBubbleSize val="0"/>
        </c:dLbls>
        <c:gapWidth val="219"/>
        <c:overlap val="-27"/>
        <c:axId val="91620495"/>
        <c:axId val="243680623"/>
      </c:barChart>
      <c:lineChart>
        <c:grouping val="standard"/>
        <c:varyColors val="0"/>
        <c:ser>
          <c:idx val="1"/>
          <c:order val="1"/>
          <c:tx>
            <c:strRef>
              <c:f>Graphs!$W$23</c:f>
              <c:strCache>
                <c:ptCount val="1"/>
                <c:pt idx="0">
                  <c:v>Adj. op. margin</c:v>
                </c:pt>
              </c:strCache>
            </c:strRef>
          </c:tx>
          <c:spPr>
            <a:ln w="28575" cap="rnd" cmpd="sng" algn="ctr">
              <a:solidFill>
                <a:srgbClr val="141413"/>
              </a:solidFill>
              <a:prstDash val="solid"/>
              <a:round/>
              <a:headEnd type="none" w="med" len="med"/>
              <a:tailEnd type="none" w="med" len="med"/>
            </a:ln>
            <a:effectLst/>
          </c:spPr>
          <c:marker>
            <c:symbol val="none"/>
          </c:marker>
          <c:cat>
            <c:strRef>
              <c:f>Graphs!$U$24:$U$35</c:f>
              <c:strCache>
                <c:ptCount val="12"/>
                <c:pt idx="0">
                  <c:v>Q1 2025A</c:v>
                </c:pt>
                <c:pt idx="1">
                  <c:v>Q2 2025A</c:v>
                </c:pt>
                <c:pt idx="2">
                  <c:v>Q3 2025A</c:v>
                </c:pt>
                <c:pt idx="3">
                  <c:v>Q4 2025A</c:v>
                </c:pt>
                <c:pt idx="4">
                  <c:v>Q1 2026A</c:v>
                </c:pt>
                <c:pt idx="5">
                  <c:v>Q2 2026A</c:v>
                </c:pt>
                <c:pt idx="6">
                  <c:v>Q3 2026A</c:v>
                </c:pt>
                <c:pt idx="7">
                  <c:v>Q4 2026A</c:v>
                </c:pt>
                <c:pt idx="8">
                  <c:v>Q1 2027A</c:v>
                </c:pt>
                <c:pt idx="9">
                  <c:v>Q2 2027A</c:v>
                </c:pt>
                <c:pt idx="10">
                  <c:v>Q3 2027A</c:v>
                </c:pt>
                <c:pt idx="11">
                  <c:v>Q4 2027A</c:v>
                </c:pt>
              </c:strCache>
            </c:strRef>
          </c:cat>
          <c:val>
            <c:numRef>
              <c:f>Graphs!$W$24:$W$35</c:f>
              <c:numCache>
                <c:formatCode>0.0%</c:formatCode>
                <c:ptCount val="12"/>
                <c:pt idx="0">
                  <c:v>-2.2074468085106385</c:v>
                </c:pt>
                <c:pt idx="1">
                  <c:v>-1.2947903430749683</c:v>
                </c:pt>
                <c:pt idx="2">
                  <c:v>-0.9290882778581766</c:v>
                </c:pt>
                <c:pt idx="3">
                  <c:v>-0.84362745098039216</c:v>
                </c:pt>
                <c:pt idx="4">
                  <c:v>-0.13041640245191291</c:v>
                </c:pt>
                <c:pt idx="5">
                  <c:v>0.1934227607096495</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1-67DB-4A4C-A7D7-230EA6301CF8}"/>
            </c:ext>
          </c:extLst>
        </c:ser>
        <c:dLbls>
          <c:showLegendKey val="0"/>
          <c:showVal val="0"/>
          <c:showCatName val="0"/>
          <c:showSerName val="0"/>
          <c:showPercent val="0"/>
          <c:showBubbleSize val="0"/>
        </c:dLbls>
        <c:marker val="1"/>
        <c:smooth val="0"/>
        <c:axId val="2106586640"/>
        <c:axId val="243703183"/>
      </c:lineChart>
      <c:catAx>
        <c:axId val="9162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41413"/>
                </a:solidFill>
                <a:latin typeface="Calibri"/>
                <a:ea typeface="Calibri"/>
                <a:cs typeface="Calibri"/>
              </a:defRPr>
            </a:pPr>
            <a:endParaRPr lang="en-US"/>
          </a:p>
        </c:txPr>
        <c:crossAx val="243680623"/>
        <c:crosses val="autoZero"/>
        <c:auto val="1"/>
        <c:lblAlgn val="ctr"/>
        <c:lblOffset val="100"/>
        <c:noMultiLvlLbl val="0"/>
      </c:catAx>
      <c:valAx>
        <c:axId val="243680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41413"/>
                </a:solidFill>
                <a:latin typeface="Calibri"/>
                <a:ea typeface="Calibri"/>
                <a:cs typeface="Calibri"/>
              </a:defRPr>
            </a:pPr>
            <a:endParaRPr lang="en-US"/>
          </a:p>
        </c:txPr>
        <c:crossAx val="91620495"/>
        <c:crosses val="autoZero"/>
        <c:crossBetween val="between"/>
      </c:valAx>
      <c:valAx>
        <c:axId val="24370318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41413"/>
                </a:solidFill>
                <a:latin typeface="Calibri"/>
                <a:ea typeface="Calibri"/>
                <a:cs typeface="Calibri"/>
              </a:defRPr>
            </a:pPr>
            <a:endParaRPr lang="en-US"/>
          </a:p>
        </c:txPr>
        <c:crossAx val="2106586640"/>
        <c:crosses val="max"/>
        <c:crossBetween val="between"/>
      </c:valAx>
      <c:catAx>
        <c:axId val="2106586640"/>
        <c:scaling>
          <c:orientation val="minMax"/>
        </c:scaling>
        <c:delete val="1"/>
        <c:axPos val="b"/>
        <c:numFmt formatCode="General" sourceLinked="1"/>
        <c:majorTickMark val="out"/>
        <c:minorTickMark val="none"/>
        <c:tickLblPos val="nextTo"/>
        <c:crossAx val="243703183"/>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141413"/>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solidFill>
            <a:srgbClr val="141413"/>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41413"/>
                </a:solidFill>
                <a:latin typeface="Calibri"/>
                <a:ea typeface="Calibri"/>
                <a:cs typeface="Calibri"/>
              </a:defRPr>
            </a:pPr>
            <a:r>
              <a:rPr lang="en-US"/>
              <a:t>Revenue by scenario ($M), FY2023A–FY2040E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41413"/>
              </a:solidFill>
              <a:latin typeface="Calibri"/>
              <a:ea typeface="Calibri"/>
              <a:cs typeface="Calibri"/>
            </a:defRPr>
          </a:pPr>
          <a:endParaRPr lang="en-US"/>
        </a:p>
      </c:txPr>
    </c:title>
    <c:autoTitleDeleted val="0"/>
    <c:plotArea>
      <c:layout/>
      <c:lineChart>
        <c:grouping val="standard"/>
        <c:varyColors val="0"/>
        <c:ser>
          <c:idx val="0"/>
          <c:order val="0"/>
          <c:tx>
            <c:strRef>
              <c:f>Graphs!$V$38</c:f>
              <c:strCache>
                <c:ptCount val="1"/>
                <c:pt idx="0">
                  <c:v>Bear</c:v>
                </c:pt>
              </c:strCache>
            </c:strRef>
          </c:tx>
          <c:spPr>
            <a:ln w="28575" cap="rnd" cmpd="sng" algn="ctr">
              <a:solidFill>
                <a:srgbClr val="B0AEA5"/>
              </a:solidFill>
              <a:prstDash val="solid"/>
              <a:round/>
              <a:headEnd type="none" w="med" len="med"/>
              <a:tailEnd type="none" w="med" len="med"/>
            </a:ln>
            <a:effectLst/>
          </c:spPr>
          <c:marker>
            <c:symbol val="none"/>
          </c:marker>
          <c:cat>
            <c:strRef>
              <c:f>Graphs!$U$39:$U$56</c:f>
              <c:strCache>
                <c:ptCount val="18"/>
                <c:pt idx="0">
                  <c:v>FY2023A</c:v>
                </c:pt>
                <c:pt idx="1">
                  <c:v>FY2024A</c:v>
                </c:pt>
                <c:pt idx="2">
                  <c:v>FY2025A</c:v>
                </c:pt>
                <c:pt idx="3">
                  <c:v>FY2026E</c:v>
                </c:pt>
                <c:pt idx="4">
                  <c:v>FY2027E</c:v>
                </c:pt>
                <c:pt idx="5">
                  <c:v>FY2028E</c:v>
                </c:pt>
                <c:pt idx="6">
                  <c:v>FY2029E</c:v>
                </c:pt>
                <c:pt idx="7">
                  <c:v>FY2030E</c:v>
                </c:pt>
                <c:pt idx="8">
                  <c:v>FY2031E</c:v>
                </c:pt>
                <c:pt idx="9">
                  <c:v>FY2032E</c:v>
                </c:pt>
                <c:pt idx="10">
                  <c:v>FY2033E</c:v>
                </c:pt>
                <c:pt idx="11">
                  <c:v>FY2034E</c:v>
                </c:pt>
                <c:pt idx="12">
                  <c:v>FY2035E</c:v>
                </c:pt>
                <c:pt idx="13">
                  <c:v>FY2036E</c:v>
                </c:pt>
                <c:pt idx="14">
                  <c:v>FY2037E</c:v>
                </c:pt>
                <c:pt idx="15">
                  <c:v>FY2038E</c:v>
                </c:pt>
                <c:pt idx="16">
                  <c:v>FY2039E</c:v>
                </c:pt>
                <c:pt idx="17">
                  <c:v>FY2040E</c:v>
                </c:pt>
              </c:strCache>
            </c:strRef>
          </c:cat>
          <c:val>
            <c:numRef>
              <c:f>Graphs!$V$39:$V$56</c:f>
              <c:numCache>
                <c:formatCode>"$"#,##0;\("$"#,##0\);"-"</c:formatCode>
                <c:ptCount val="18"/>
                <c:pt idx="0">
                  <c:v>41</c:v>
                </c:pt>
                <c:pt idx="1">
                  <c:v>386</c:v>
                </c:pt>
                <c:pt idx="2">
                  <c:v>4585</c:v>
                </c:pt>
                <c:pt idx="3">
                  <c:v>51592.480000000003</c:v>
                </c:pt>
                <c:pt idx="4">
                  <c:v>86675.366400000014</c:v>
                </c:pt>
                <c:pt idx="5">
                  <c:v>116186.26496000001</c:v>
                </c:pt>
                <c:pt idx="6">
                  <c:v>141317.99381760001</c:v>
                </c:pt>
                <c:pt idx="7">
                  <c:v>163671.323168256</c:v>
                </c:pt>
                <c:pt idx="8">
                  <c:v>183015.69983926276</c:v>
                </c:pt>
                <c:pt idx="9">
                  <c:v>200988.50768199482</c:v>
                </c:pt>
                <c:pt idx="10">
                  <c:v>216888.41292960354</c:v>
                </c:pt>
                <c:pt idx="11">
                  <c:v>231877.98831520363</c:v>
                </c:pt>
                <c:pt idx="12">
                  <c:v>245585.534215878</c:v>
                </c:pt>
                <c:pt idx="13">
                  <c:v>257648.39519153096</c:v>
                </c:pt>
                <c:pt idx="14">
                  <c:v>269016.41853192757</c:v>
                </c:pt>
                <c:pt idx="15">
                  <c:v>279541.87465225346</c:v>
                </c:pt>
                <c:pt idx="16">
                  <c:v>289082.40762239782</c:v>
                </c:pt>
                <c:pt idx="17">
                  <c:v>297754.87985106977</c:v>
                </c:pt>
              </c:numCache>
            </c:numRef>
          </c:val>
          <c:smooth val="0"/>
          <c:extLst>
            <c:ext xmlns:c16="http://schemas.microsoft.com/office/drawing/2014/chart" uri="{C3380CC4-5D6E-409C-BE32-E72D297353CC}">
              <c16:uniqueId val="{00000000-407E-40B8-839C-BD1F696184A5}"/>
            </c:ext>
          </c:extLst>
        </c:ser>
        <c:ser>
          <c:idx val="1"/>
          <c:order val="1"/>
          <c:tx>
            <c:strRef>
              <c:f>Graphs!$W$38</c:f>
              <c:strCache>
                <c:ptCount val="1"/>
                <c:pt idx="0">
                  <c:v>Base</c:v>
                </c:pt>
              </c:strCache>
            </c:strRef>
          </c:tx>
          <c:spPr>
            <a:ln w="28575" cap="rnd" cmpd="sng" algn="ctr">
              <a:solidFill>
                <a:srgbClr val="D97757"/>
              </a:solidFill>
              <a:prstDash val="solid"/>
              <a:round/>
              <a:headEnd type="none" w="med" len="med"/>
              <a:tailEnd type="none" w="med" len="med"/>
            </a:ln>
            <a:effectLst/>
          </c:spPr>
          <c:marker>
            <c:symbol val="none"/>
          </c:marker>
          <c:cat>
            <c:strRef>
              <c:f>Graphs!$U$39:$U$56</c:f>
              <c:strCache>
                <c:ptCount val="18"/>
                <c:pt idx="0">
                  <c:v>FY2023A</c:v>
                </c:pt>
                <c:pt idx="1">
                  <c:v>FY2024A</c:v>
                </c:pt>
                <c:pt idx="2">
                  <c:v>FY2025A</c:v>
                </c:pt>
                <c:pt idx="3">
                  <c:v>FY2026E</c:v>
                </c:pt>
                <c:pt idx="4">
                  <c:v>FY2027E</c:v>
                </c:pt>
                <c:pt idx="5">
                  <c:v>FY2028E</c:v>
                </c:pt>
                <c:pt idx="6">
                  <c:v>FY2029E</c:v>
                </c:pt>
                <c:pt idx="7">
                  <c:v>FY2030E</c:v>
                </c:pt>
                <c:pt idx="8">
                  <c:v>FY2031E</c:v>
                </c:pt>
                <c:pt idx="9">
                  <c:v>FY2032E</c:v>
                </c:pt>
                <c:pt idx="10">
                  <c:v>FY2033E</c:v>
                </c:pt>
                <c:pt idx="11">
                  <c:v>FY2034E</c:v>
                </c:pt>
                <c:pt idx="12">
                  <c:v>FY2035E</c:v>
                </c:pt>
                <c:pt idx="13">
                  <c:v>FY2036E</c:v>
                </c:pt>
                <c:pt idx="14">
                  <c:v>FY2037E</c:v>
                </c:pt>
                <c:pt idx="15">
                  <c:v>FY2038E</c:v>
                </c:pt>
                <c:pt idx="16">
                  <c:v>FY2039E</c:v>
                </c:pt>
                <c:pt idx="17">
                  <c:v>FY2040E</c:v>
                </c:pt>
              </c:strCache>
            </c:strRef>
          </c:cat>
          <c:val>
            <c:numRef>
              <c:f>Graphs!$W$39:$W$56</c:f>
              <c:numCache>
                <c:formatCode>"$"#,##0;\("$"#,##0\);"-"</c:formatCode>
                <c:ptCount val="18"/>
                <c:pt idx="0">
                  <c:v>41</c:v>
                </c:pt>
                <c:pt idx="1">
                  <c:v>386</c:v>
                </c:pt>
                <c:pt idx="2">
                  <c:v>4585</c:v>
                </c:pt>
                <c:pt idx="3">
                  <c:v>54504.162499999999</c:v>
                </c:pt>
                <c:pt idx="4">
                  <c:v>113368.658</c:v>
                </c:pt>
                <c:pt idx="5">
                  <c:v>180299.76955</c:v>
                </c:pt>
                <c:pt idx="6">
                  <c:v>251743.825755</c:v>
                </c:pt>
                <c:pt idx="7">
                  <c:v>326334.29825280001</c:v>
                </c:pt>
                <c:pt idx="8">
                  <c:v>403460.70554073603</c:v>
                </c:pt>
                <c:pt idx="9">
                  <c:v>478661.77395633794</c:v>
                </c:pt>
                <c:pt idx="10">
                  <c:v>548756.97525433719</c:v>
                </c:pt>
                <c:pt idx="11">
                  <c:v>613645.01567542762</c:v>
                </c:pt>
                <c:pt idx="12">
                  <c:v>673940.81300650316</c:v>
                </c:pt>
                <c:pt idx="13">
                  <c:v>730060.89449430665</c:v>
                </c:pt>
                <c:pt idx="14">
                  <c:v>780539.03001436777</c:v>
                </c:pt>
                <c:pt idx="15">
                  <c:v>826704.54645954445</c:v>
                </c:pt>
                <c:pt idx="16">
                  <c:v>867336.27303227363</c:v>
                </c:pt>
                <c:pt idx="17">
                  <c:v>902029.72395356465</c:v>
                </c:pt>
              </c:numCache>
            </c:numRef>
          </c:val>
          <c:smooth val="0"/>
          <c:extLst>
            <c:ext xmlns:c16="http://schemas.microsoft.com/office/drawing/2014/chart" uri="{C3380CC4-5D6E-409C-BE32-E72D297353CC}">
              <c16:uniqueId val="{00000001-407E-40B8-839C-BD1F696184A5}"/>
            </c:ext>
          </c:extLst>
        </c:ser>
        <c:ser>
          <c:idx val="2"/>
          <c:order val="2"/>
          <c:tx>
            <c:strRef>
              <c:f>Graphs!$X$38</c:f>
              <c:strCache>
                <c:ptCount val="1"/>
                <c:pt idx="0">
                  <c:v>Bull</c:v>
                </c:pt>
              </c:strCache>
            </c:strRef>
          </c:tx>
          <c:spPr>
            <a:ln w="28575" cap="rnd" cmpd="sng" algn="ctr">
              <a:solidFill>
                <a:srgbClr val="141413"/>
              </a:solidFill>
              <a:prstDash val="solid"/>
              <a:round/>
              <a:headEnd type="none" w="med" len="med"/>
              <a:tailEnd type="none" w="med" len="med"/>
            </a:ln>
            <a:effectLst/>
          </c:spPr>
          <c:marker>
            <c:symbol val="none"/>
          </c:marker>
          <c:cat>
            <c:strRef>
              <c:f>Graphs!$U$39:$U$56</c:f>
              <c:strCache>
                <c:ptCount val="18"/>
                <c:pt idx="0">
                  <c:v>FY2023A</c:v>
                </c:pt>
                <c:pt idx="1">
                  <c:v>FY2024A</c:v>
                </c:pt>
                <c:pt idx="2">
                  <c:v>FY2025A</c:v>
                </c:pt>
                <c:pt idx="3">
                  <c:v>FY2026E</c:v>
                </c:pt>
                <c:pt idx="4">
                  <c:v>FY2027E</c:v>
                </c:pt>
                <c:pt idx="5">
                  <c:v>FY2028E</c:v>
                </c:pt>
                <c:pt idx="6">
                  <c:v>FY2029E</c:v>
                </c:pt>
                <c:pt idx="7">
                  <c:v>FY2030E</c:v>
                </c:pt>
                <c:pt idx="8">
                  <c:v>FY2031E</c:v>
                </c:pt>
                <c:pt idx="9">
                  <c:v>FY2032E</c:v>
                </c:pt>
                <c:pt idx="10">
                  <c:v>FY2033E</c:v>
                </c:pt>
                <c:pt idx="11">
                  <c:v>FY2034E</c:v>
                </c:pt>
                <c:pt idx="12">
                  <c:v>FY2035E</c:v>
                </c:pt>
                <c:pt idx="13">
                  <c:v>FY2036E</c:v>
                </c:pt>
                <c:pt idx="14">
                  <c:v>FY2037E</c:v>
                </c:pt>
                <c:pt idx="15">
                  <c:v>FY2038E</c:v>
                </c:pt>
                <c:pt idx="16">
                  <c:v>FY2039E</c:v>
                </c:pt>
                <c:pt idx="17">
                  <c:v>FY2040E</c:v>
                </c:pt>
              </c:strCache>
            </c:strRef>
          </c:cat>
          <c:val>
            <c:numRef>
              <c:f>Graphs!$X$39:$X$56</c:f>
              <c:numCache>
                <c:formatCode>"$"#,##0;\("$"#,##0\);"-"</c:formatCode>
                <c:ptCount val="18"/>
                <c:pt idx="0">
                  <c:v>41</c:v>
                </c:pt>
                <c:pt idx="1">
                  <c:v>386</c:v>
                </c:pt>
                <c:pt idx="2">
                  <c:v>4585</c:v>
                </c:pt>
                <c:pt idx="3">
                  <c:v>57560.46</c:v>
                </c:pt>
                <c:pt idx="4">
                  <c:v>142749.94080000001</c:v>
                </c:pt>
                <c:pt idx="5">
                  <c:v>262705.93944000005</c:v>
                </c:pt>
                <c:pt idx="6">
                  <c:v>404707.5942600001</c:v>
                </c:pt>
                <c:pt idx="7">
                  <c:v>563606.69771760004</c:v>
                </c:pt>
                <c:pt idx="8">
                  <c:v>730659.6317453282</c:v>
                </c:pt>
                <c:pt idx="9">
                  <c:v>903420.72699614032</c:v>
                </c:pt>
                <c:pt idx="10">
                  <c:v>1071902.0611563656</c:v>
                </c:pt>
                <c:pt idx="11">
                  <c:v>1230833.7370079313</c:v>
                </c:pt>
                <c:pt idx="12">
                  <c:v>1376420.6434619296</c:v>
                </c:pt>
                <c:pt idx="13">
                  <c:v>1511717.1202026042</c:v>
                </c:pt>
                <c:pt idx="14">
                  <c:v>1638934.7301748181</c:v>
                </c:pt>
                <c:pt idx="15">
                  <c:v>1752279.5484224474</c:v>
                </c:pt>
                <c:pt idx="16">
                  <c:v>1855945.9686269867</c:v>
                </c:pt>
                <c:pt idx="17">
                  <c:v>1948743.2670583359</c:v>
                </c:pt>
              </c:numCache>
            </c:numRef>
          </c:val>
          <c:smooth val="0"/>
          <c:extLst>
            <c:ext xmlns:c16="http://schemas.microsoft.com/office/drawing/2014/chart" uri="{C3380CC4-5D6E-409C-BE32-E72D297353CC}">
              <c16:uniqueId val="{00000002-407E-40B8-839C-BD1F696184A5}"/>
            </c:ext>
          </c:extLst>
        </c:ser>
        <c:dLbls>
          <c:showLegendKey val="0"/>
          <c:showVal val="0"/>
          <c:showCatName val="0"/>
          <c:showSerName val="0"/>
          <c:showPercent val="0"/>
          <c:showBubbleSize val="0"/>
        </c:dLbls>
        <c:smooth val="0"/>
        <c:axId val="2078271376"/>
        <c:axId val="243643183"/>
      </c:lineChart>
      <c:catAx>
        <c:axId val="207827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41413"/>
                </a:solidFill>
                <a:latin typeface="Calibri"/>
                <a:ea typeface="Calibri"/>
                <a:cs typeface="Calibri"/>
              </a:defRPr>
            </a:pPr>
            <a:endParaRPr lang="en-US"/>
          </a:p>
        </c:txPr>
        <c:crossAx val="243643183"/>
        <c:crosses val="autoZero"/>
        <c:auto val="1"/>
        <c:lblAlgn val="ctr"/>
        <c:lblOffset val="100"/>
        <c:noMultiLvlLbl val="0"/>
      </c:catAx>
      <c:valAx>
        <c:axId val="2436431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41413"/>
                </a:solidFill>
                <a:latin typeface="Calibri"/>
                <a:ea typeface="Calibri"/>
                <a:cs typeface="Calibri"/>
              </a:defRPr>
            </a:pPr>
            <a:endParaRPr lang="en-US"/>
          </a:p>
        </c:txPr>
        <c:crossAx val="2078271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141413"/>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solidFill>
            <a:srgbClr val="141413"/>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41413"/>
                </a:solidFill>
                <a:latin typeface="Calibri"/>
                <a:ea typeface="Calibri"/>
                <a:cs typeface="Calibri"/>
              </a:defRPr>
            </a:pPr>
            <a:r>
              <a:rPr lang="en-US"/>
              <a:t>Base: compute capacity in service (GW) and owned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41413"/>
              </a:solidFill>
              <a:latin typeface="Calibri"/>
              <a:ea typeface="Calibri"/>
              <a:cs typeface="Calibri"/>
            </a:defRPr>
          </a:pPr>
          <a:endParaRPr lang="en-US"/>
        </a:p>
      </c:txPr>
    </c:title>
    <c:autoTitleDeleted val="0"/>
    <c:plotArea>
      <c:layout/>
      <c:barChart>
        <c:barDir val="col"/>
        <c:grouping val="clustered"/>
        <c:varyColors val="0"/>
        <c:ser>
          <c:idx val="0"/>
          <c:order val="0"/>
          <c:tx>
            <c:strRef>
              <c:f>Graphs!$V$59</c:f>
              <c:strCache>
                <c:ptCount val="1"/>
                <c:pt idx="0">
                  <c:v>GW in service</c:v>
                </c:pt>
              </c:strCache>
            </c:strRef>
          </c:tx>
          <c:spPr>
            <a:solidFill>
              <a:srgbClr val="D4A27F"/>
            </a:solidFill>
            <a:ln>
              <a:noFill/>
            </a:ln>
            <a:effectLst/>
          </c:spPr>
          <c:invertIfNegative val="0"/>
          <c:cat>
            <c:strRef>
              <c:f>Graphs!$U$60:$U$75</c:f>
              <c:strCache>
                <c:ptCount val="16"/>
                <c:pt idx="0">
                  <c:v>FY2025A</c:v>
                </c:pt>
                <c:pt idx="1">
                  <c:v>FY2026E</c:v>
                </c:pt>
                <c:pt idx="2">
                  <c:v>FY2027E</c:v>
                </c:pt>
                <c:pt idx="3">
                  <c:v>FY2028E</c:v>
                </c:pt>
                <c:pt idx="4">
                  <c:v>FY2029E</c:v>
                </c:pt>
                <c:pt idx="5">
                  <c:v>FY2030E</c:v>
                </c:pt>
                <c:pt idx="6">
                  <c:v>FY2031E</c:v>
                </c:pt>
                <c:pt idx="7">
                  <c:v>FY2032E</c:v>
                </c:pt>
                <c:pt idx="8">
                  <c:v>FY2033E</c:v>
                </c:pt>
                <c:pt idx="9">
                  <c:v>FY2034E</c:v>
                </c:pt>
                <c:pt idx="10">
                  <c:v>FY2035E</c:v>
                </c:pt>
                <c:pt idx="11">
                  <c:v>FY2036E</c:v>
                </c:pt>
                <c:pt idx="12">
                  <c:v>FY2037E</c:v>
                </c:pt>
                <c:pt idx="13">
                  <c:v>FY2038E</c:v>
                </c:pt>
                <c:pt idx="14">
                  <c:v>FY2039E</c:v>
                </c:pt>
                <c:pt idx="15">
                  <c:v>FY2040E</c:v>
                </c:pt>
              </c:strCache>
            </c:strRef>
          </c:cat>
          <c:val>
            <c:numRef>
              <c:f>Graphs!$V$60:$V$75</c:f>
              <c:numCache>
                <c:formatCode>0.0</c:formatCode>
                <c:ptCount val="16"/>
                <c:pt idx="0">
                  <c:v>0.61050000000000004</c:v>
                </c:pt>
                <c:pt idx="1">
                  <c:v>2.4981074479166665</c:v>
                </c:pt>
                <c:pt idx="2">
                  <c:v>4.8682969634353741</c:v>
                </c:pt>
                <c:pt idx="3">
                  <c:v>7.274693950502396</c:v>
                </c:pt>
                <c:pt idx="4">
                  <c:v>9.5844669501120041</c:v>
                </c:pt>
                <c:pt idx="5">
                  <c:v>11.793368445404937</c:v>
                </c:pt>
                <c:pt idx="6">
                  <c:v>14.134329132984208</c:v>
                </c:pt>
                <c:pt idx="7">
                  <c:v>16.21040616967683</c:v>
                </c:pt>
                <c:pt idx="8">
                  <c:v>18.173377150251628</c:v>
                </c:pt>
                <c:pt idx="9">
                  <c:v>20.135865714381953</c:v>
                </c:pt>
                <c:pt idx="10">
                  <c:v>21.892130357532587</c:v>
                </c:pt>
                <c:pt idx="11">
                  <c:v>23.45451577942729</c:v>
                </c:pt>
                <c:pt idx="12">
                  <c:v>25.181822839944012</c:v>
                </c:pt>
                <c:pt idx="13">
                  <c:v>27.215598985032688</c:v>
                </c:pt>
                <c:pt idx="14">
                  <c:v>29.135837005732892</c:v>
                </c:pt>
                <c:pt idx="15">
                  <c:v>30.919780004379291</c:v>
                </c:pt>
              </c:numCache>
            </c:numRef>
          </c:val>
          <c:extLst>
            <c:ext xmlns:c16="http://schemas.microsoft.com/office/drawing/2014/chart" uri="{C3380CC4-5D6E-409C-BE32-E72D297353CC}">
              <c16:uniqueId val="{00000000-0CA8-4205-8B46-3613618E31D0}"/>
            </c:ext>
          </c:extLst>
        </c:ser>
        <c:dLbls>
          <c:showLegendKey val="0"/>
          <c:showVal val="0"/>
          <c:showCatName val="0"/>
          <c:showSerName val="0"/>
          <c:showPercent val="0"/>
          <c:showBubbleSize val="0"/>
        </c:dLbls>
        <c:gapWidth val="219"/>
        <c:overlap val="-27"/>
        <c:axId val="11593967"/>
        <c:axId val="243652783"/>
      </c:barChart>
      <c:lineChart>
        <c:grouping val="standard"/>
        <c:varyColors val="0"/>
        <c:ser>
          <c:idx val="1"/>
          <c:order val="1"/>
          <c:tx>
            <c:strRef>
              <c:f>Graphs!$W$59</c:f>
              <c:strCache>
                <c:ptCount val="1"/>
                <c:pt idx="0">
                  <c:v>Owned share</c:v>
                </c:pt>
              </c:strCache>
            </c:strRef>
          </c:tx>
          <c:spPr>
            <a:ln w="28575" cap="rnd" cmpd="sng" algn="ctr">
              <a:solidFill>
                <a:srgbClr val="141413"/>
              </a:solidFill>
              <a:prstDash val="solid"/>
              <a:round/>
              <a:headEnd type="none" w="med" len="med"/>
              <a:tailEnd type="none" w="med" len="med"/>
            </a:ln>
            <a:effectLst/>
          </c:spPr>
          <c:marker>
            <c:symbol val="none"/>
          </c:marker>
          <c:cat>
            <c:strRef>
              <c:f>Graphs!$U$60:$U$75</c:f>
              <c:strCache>
                <c:ptCount val="16"/>
                <c:pt idx="0">
                  <c:v>FY2025A</c:v>
                </c:pt>
                <c:pt idx="1">
                  <c:v>FY2026E</c:v>
                </c:pt>
                <c:pt idx="2">
                  <c:v>FY2027E</c:v>
                </c:pt>
                <c:pt idx="3">
                  <c:v>FY2028E</c:v>
                </c:pt>
                <c:pt idx="4">
                  <c:v>FY2029E</c:v>
                </c:pt>
                <c:pt idx="5">
                  <c:v>FY2030E</c:v>
                </c:pt>
                <c:pt idx="6">
                  <c:v>FY2031E</c:v>
                </c:pt>
                <c:pt idx="7">
                  <c:v>FY2032E</c:v>
                </c:pt>
                <c:pt idx="8">
                  <c:v>FY2033E</c:v>
                </c:pt>
                <c:pt idx="9">
                  <c:v>FY2034E</c:v>
                </c:pt>
                <c:pt idx="10">
                  <c:v>FY2035E</c:v>
                </c:pt>
                <c:pt idx="11">
                  <c:v>FY2036E</c:v>
                </c:pt>
                <c:pt idx="12">
                  <c:v>FY2037E</c:v>
                </c:pt>
                <c:pt idx="13">
                  <c:v>FY2038E</c:v>
                </c:pt>
                <c:pt idx="14">
                  <c:v>FY2039E</c:v>
                </c:pt>
                <c:pt idx="15">
                  <c:v>FY2040E</c:v>
                </c:pt>
              </c:strCache>
            </c:strRef>
          </c:cat>
          <c:val>
            <c:numRef>
              <c:f>Graphs!$W$60:$W$75</c:f>
              <c:numCache>
                <c:formatCode>0.0%</c:formatCode>
                <c:ptCount val="16"/>
                <c:pt idx="0">
                  <c:v>#N/A</c:v>
                </c:pt>
                <c:pt idx="1">
                  <c:v>7.5561499546020913E-2</c:v>
                </c:pt>
                <c:pt idx="2">
                  <c:v>0.13614589514023731</c:v>
                </c:pt>
                <c:pt idx="3">
                  <c:v>0.19034721645161237</c:v>
                </c:pt>
                <c:pt idx="4">
                  <c:v>0.22882214580052868</c:v>
                </c:pt>
                <c:pt idx="5">
                  <c:v>0.26088380993428795</c:v>
                </c:pt>
                <c:pt idx="6">
                  <c:v>0.28392455908379349</c:v>
                </c:pt>
                <c:pt idx="7">
                  <c:v>0.29879041468837964</c:v>
                </c:pt>
                <c:pt idx="8">
                  <c:v>0.30972242128683236</c:v>
                </c:pt>
                <c:pt idx="9">
                  <c:v>0.31852108523975214</c:v>
                </c:pt>
                <c:pt idx="10">
                  <c:v>0.32505761388354726</c:v>
                </c:pt>
                <c:pt idx="11">
                  <c:v>0.33004978224257397</c:v>
                </c:pt>
                <c:pt idx="12">
                  <c:v>0.3348479061029892</c:v>
                </c:pt>
                <c:pt idx="13">
                  <c:v>0.33971661299579681</c:v>
                </c:pt>
                <c:pt idx="14">
                  <c:v>0.34368967379097076</c:v>
                </c:pt>
                <c:pt idx="15">
                  <c:v>0.34693854594264406</c:v>
                </c:pt>
              </c:numCache>
            </c:numRef>
          </c:val>
          <c:smooth val="0"/>
          <c:extLst>
            <c:ext xmlns:c16="http://schemas.microsoft.com/office/drawing/2014/chart" uri="{C3380CC4-5D6E-409C-BE32-E72D297353CC}">
              <c16:uniqueId val="{00000001-0CA8-4205-8B46-3613618E31D0}"/>
            </c:ext>
          </c:extLst>
        </c:ser>
        <c:dLbls>
          <c:showLegendKey val="0"/>
          <c:showVal val="0"/>
          <c:showCatName val="0"/>
          <c:showSerName val="0"/>
          <c:showPercent val="0"/>
          <c:showBubbleSize val="0"/>
        </c:dLbls>
        <c:marker val="1"/>
        <c:smooth val="0"/>
        <c:axId val="34573759"/>
        <c:axId val="243675823"/>
      </c:lineChart>
      <c:catAx>
        <c:axId val="1159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41413"/>
                </a:solidFill>
                <a:latin typeface="Calibri"/>
                <a:ea typeface="Calibri"/>
                <a:cs typeface="Calibri"/>
              </a:defRPr>
            </a:pPr>
            <a:endParaRPr lang="en-US"/>
          </a:p>
        </c:txPr>
        <c:crossAx val="243652783"/>
        <c:crosses val="autoZero"/>
        <c:auto val="1"/>
        <c:lblAlgn val="ctr"/>
        <c:lblOffset val="100"/>
        <c:noMultiLvlLbl val="0"/>
      </c:catAx>
      <c:valAx>
        <c:axId val="24365278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41413"/>
                </a:solidFill>
                <a:latin typeface="Calibri"/>
                <a:ea typeface="Calibri"/>
                <a:cs typeface="Calibri"/>
              </a:defRPr>
            </a:pPr>
            <a:endParaRPr lang="en-US"/>
          </a:p>
        </c:txPr>
        <c:crossAx val="11593967"/>
        <c:crosses val="autoZero"/>
        <c:crossBetween val="between"/>
      </c:valAx>
      <c:valAx>
        <c:axId val="24367582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41413"/>
                </a:solidFill>
                <a:latin typeface="Calibri"/>
                <a:ea typeface="Calibri"/>
                <a:cs typeface="Calibri"/>
              </a:defRPr>
            </a:pPr>
            <a:endParaRPr lang="en-US"/>
          </a:p>
        </c:txPr>
        <c:crossAx val="34573759"/>
        <c:crosses val="max"/>
        <c:crossBetween val="between"/>
      </c:valAx>
      <c:catAx>
        <c:axId val="34573759"/>
        <c:scaling>
          <c:orientation val="minMax"/>
        </c:scaling>
        <c:delete val="1"/>
        <c:axPos val="b"/>
        <c:numFmt formatCode="General" sourceLinked="1"/>
        <c:majorTickMark val="out"/>
        <c:minorTickMark val="none"/>
        <c:tickLblPos val="nextTo"/>
        <c:crossAx val="243675823"/>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141413"/>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solidFill>
            <a:srgbClr val="141413"/>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41413"/>
                </a:solidFill>
                <a:latin typeface="Calibri"/>
                <a:ea typeface="Calibri"/>
                <a:cs typeface="Calibri"/>
              </a:defRPr>
            </a:pPr>
            <a:r>
              <a:rPr lang="en-US"/>
              <a:t>Value per share by scenario vs entry price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41413"/>
              </a:solidFill>
              <a:latin typeface="Calibri"/>
              <a:ea typeface="Calibri"/>
              <a:cs typeface="Calibri"/>
            </a:defRPr>
          </a:pPr>
          <a:endParaRPr lang="en-US"/>
        </a:p>
      </c:txPr>
    </c:title>
    <c:autoTitleDeleted val="0"/>
    <c:plotArea>
      <c:layout/>
      <c:barChart>
        <c:barDir val="col"/>
        <c:grouping val="clustered"/>
        <c:varyColors val="0"/>
        <c:ser>
          <c:idx val="0"/>
          <c:order val="0"/>
          <c:tx>
            <c:strRef>
              <c:f>Graphs!$V$78</c:f>
              <c:strCache>
                <c:ptCount val="1"/>
                <c:pt idx="0">
                  <c:v>Value / share</c:v>
                </c:pt>
              </c:strCache>
            </c:strRef>
          </c:tx>
          <c:spPr>
            <a:solidFill>
              <a:srgbClr val="D97757"/>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41413"/>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Graphs!$U$79:$U$82</c:f>
              <c:strCache>
                <c:ptCount val="4"/>
                <c:pt idx="0">
                  <c:v>Bear</c:v>
                </c:pt>
                <c:pt idx="1">
                  <c:v>Base</c:v>
                </c:pt>
                <c:pt idx="2">
                  <c:v>Bull</c:v>
                </c:pt>
                <c:pt idx="3">
                  <c:v>Prob-weighted</c:v>
                </c:pt>
              </c:strCache>
            </c:strRef>
          </c:cat>
          <c:val>
            <c:numRef>
              <c:f>Graphs!$V$79:$V$82</c:f>
              <c:numCache>
                <c:formatCode>"$"#,##0.00</c:formatCode>
                <c:ptCount val="4"/>
                <c:pt idx="0">
                  <c:v>30.494613767536368</c:v>
                </c:pt>
                <c:pt idx="1">
                  <c:v>111.87893101350788</c:v>
                </c:pt>
                <c:pt idx="2">
                  <c:v>301.27483534187513</c:v>
                </c:pt>
                <c:pt idx="3">
                  <c:v>138.8818277841068</c:v>
                </c:pt>
              </c:numCache>
            </c:numRef>
          </c:val>
          <c:extLst>
            <c:ext xmlns:c16="http://schemas.microsoft.com/office/drawing/2014/chart" uri="{C3380CC4-5D6E-409C-BE32-E72D297353CC}">
              <c16:uniqueId val="{00000000-92C8-4BD1-B996-1E22A9E82F88}"/>
            </c:ext>
          </c:extLst>
        </c:ser>
        <c:dLbls>
          <c:showLegendKey val="0"/>
          <c:showVal val="0"/>
          <c:showCatName val="0"/>
          <c:showSerName val="0"/>
          <c:showPercent val="0"/>
          <c:showBubbleSize val="0"/>
        </c:dLbls>
        <c:gapWidth val="219"/>
        <c:overlap val="-27"/>
        <c:axId val="34582575"/>
        <c:axId val="243689263"/>
      </c:barChart>
      <c:lineChart>
        <c:grouping val="standard"/>
        <c:varyColors val="0"/>
        <c:ser>
          <c:idx val="1"/>
          <c:order val="1"/>
          <c:tx>
            <c:strRef>
              <c:f>Graphs!$W$78</c:f>
              <c:strCache>
                <c:ptCount val="1"/>
                <c:pt idx="0">
                  <c:v>Entry price</c:v>
                </c:pt>
              </c:strCache>
            </c:strRef>
          </c:tx>
          <c:spPr>
            <a:ln w="28575" cap="rnd">
              <a:solidFill>
                <a:srgbClr val="141413"/>
              </a:solidFill>
              <a:prstDash val="lgDash"/>
              <a:round/>
            </a:ln>
            <a:effectLst/>
          </c:spPr>
          <c:marker>
            <c:symbol val="none"/>
          </c:marker>
          <c:cat>
            <c:strRef>
              <c:f>Graphs!$U$79:$U$82</c:f>
              <c:strCache>
                <c:ptCount val="4"/>
                <c:pt idx="0">
                  <c:v>Bear</c:v>
                </c:pt>
                <c:pt idx="1">
                  <c:v>Base</c:v>
                </c:pt>
                <c:pt idx="2">
                  <c:v>Bull</c:v>
                </c:pt>
                <c:pt idx="3">
                  <c:v>Prob-weighted</c:v>
                </c:pt>
              </c:strCache>
            </c:strRef>
          </c:cat>
          <c:val>
            <c:numRef>
              <c:f>Graphs!$W$79:$W$82</c:f>
              <c:numCache>
                <c:formatCode>"$"#,##0.00</c:formatCode>
                <c:ptCount val="4"/>
                <c:pt idx="0">
                  <c:v>58.9</c:v>
                </c:pt>
                <c:pt idx="1">
                  <c:v>58.9</c:v>
                </c:pt>
                <c:pt idx="2">
                  <c:v>58.9</c:v>
                </c:pt>
                <c:pt idx="3">
                  <c:v>58.9</c:v>
                </c:pt>
              </c:numCache>
            </c:numRef>
          </c:val>
          <c:smooth val="0"/>
          <c:extLst>
            <c:ext xmlns:c16="http://schemas.microsoft.com/office/drawing/2014/chart" uri="{C3380CC4-5D6E-409C-BE32-E72D297353CC}">
              <c16:uniqueId val="{00000001-92C8-4BD1-B996-1E22A9E82F88}"/>
            </c:ext>
          </c:extLst>
        </c:ser>
        <c:dLbls>
          <c:showLegendKey val="0"/>
          <c:showVal val="0"/>
          <c:showCatName val="0"/>
          <c:showSerName val="0"/>
          <c:showPercent val="0"/>
          <c:showBubbleSize val="0"/>
        </c:dLbls>
        <c:marker val="1"/>
        <c:smooth val="0"/>
        <c:axId val="34582575"/>
        <c:axId val="243689263"/>
      </c:lineChart>
      <c:catAx>
        <c:axId val="3458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41413"/>
                </a:solidFill>
                <a:latin typeface="Calibri"/>
                <a:ea typeface="Calibri"/>
                <a:cs typeface="Calibri"/>
              </a:defRPr>
            </a:pPr>
            <a:endParaRPr lang="en-US"/>
          </a:p>
        </c:txPr>
        <c:crossAx val="243689263"/>
        <c:crosses val="autoZero"/>
        <c:auto val="1"/>
        <c:lblAlgn val="ctr"/>
        <c:lblOffset val="100"/>
        <c:noMultiLvlLbl val="0"/>
      </c:catAx>
      <c:valAx>
        <c:axId val="2436892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41413"/>
                </a:solidFill>
                <a:latin typeface="Calibri"/>
                <a:ea typeface="Calibri"/>
                <a:cs typeface="Calibri"/>
              </a:defRPr>
            </a:pPr>
            <a:endParaRPr lang="en-US"/>
          </a:p>
        </c:txPr>
        <c:crossAx val="34582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141413"/>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solidFill>
            <a:srgbClr val="141413"/>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41413"/>
                </a:solidFill>
                <a:latin typeface="Calibri"/>
                <a:ea typeface="Calibri"/>
                <a:cs typeface="Calibri"/>
              </a:defRPr>
            </a:pPr>
            <a:r>
              <a:rPr lang="en-US"/>
              <a:t>Unlevered free cash flow by scenario ($M)</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41413"/>
              </a:solidFill>
              <a:latin typeface="Calibri"/>
              <a:ea typeface="Calibri"/>
              <a:cs typeface="Calibri"/>
            </a:defRPr>
          </a:pPr>
          <a:endParaRPr lang="en-US"/>
        </a:p>
      </c:txPr>
    </c:title>
    <c:autoTitleDeleted val="0"/>
    <c:plotArea>
      <c:layout/>
      <c:lineChart>
        <c:grouping val="standard"/>
        <c:varyColors val="0"/>
        <c:ser>
          <c:idx val="0"/>
          <c:order val="0"/>
          <c:tx>
            <c:strRef>
              <c:f>Graphs!$V$85</c:f>
              <c:strCache>
                <c:ptCount val="1"/>
                <c:pt idx="0">
                  <c:v>Bear</c:v>
                </c:pt>
              </c:strCache>
            </c:strRef>
          </c:tx>
          <c:spPr>
            <a:ln w="28575" cap="rnd" cmpd="sng" algn="ctr">
              <a:solidFill>
                <a:srgbClr val="B0AEA5"/>
              </a:solidFill>
              <a:prstDash val="solid"/>
              <a:round/>
              <a:headEnd type="none" w="med" len="med"/>
              <a:tailEnd type="none" w="med" len="med"/>
            </a:ln>
            <a:effectLst/>
          </c:spPr>
          <c:marker>
            <c:symbol val="none"/>
          </c:marker>
          <c:cat>
            <c:strRef>
              <c:f>Graphs!$U$86:$U$100</c:f>
              <c:strCache>
                <c:ptCount val="15"/>
                <c:pt idx="0">
                  <c:v>FY2026E</c:v>
                </c:pt>
                <c:pt idx="1">
                  <c:v>FY2027E</c:v>
                </c:pt>
                <c:pt idx="2">
                  <c:v>FY2028E</c:v>
                </c:pt>
                <c:pt idx="3">
                  <c:v>FY2029E</c:v>
                </c:pt>
                <c:pt idx="4">
                  <c:v>FY2030E</c:v>
                </c:pt>
                <c:pt idx="5">
                  <c:v>FY2031E</c:v>
                </c:pt>
                <c:pt idx="6">
                  <c:v>FY2032E</c:v>
                </c:pt>
                <c:pt idx="7">
                  <c:v>FY2033E</c:v>
                </c:pt>
                <c:pt idx="8">
                  <c:v>FY2034E</c:v>
                </c:pt>
                <c:pt idx="9">
                  <c:v>FY2035E</c:v>
                </c:pt>
                <c:pt idx="10">
                  <c:v>FY2036E</c:v>
                </c:pt>
                <c:pt idx="11">
                  <c:v>FY2037E</c:v>
                </c:pt>
                <c:pt idx="12">
                  <c:v>FY2038E</c:v>
                </c:pt>
                <c:pt idx="13">
                  <c:v>FY2039E</c:v>
                </c:pt>
                <c:pt idx="14">
                  <c:v>FY2040E</c:v>
                </c:pt>
              </c:strCache>
            </c:strRef>
          </c:cat>
          <c:val>
            <c:numRef>
              <c:f>Graphs!$V$86:$V$100</c:f>
              <c:numCache>
                <c:formatCode>"$"#,##0;\("$"#,##0\);"-"</c:formatCode>
                <c:ptCount val="15"/>
                <c:pt idx="0">
                  <c:v>-8579.8288124675018</c:v>
                </c:pt>
                <c:pt idx="1">
                  <c:v>-5831.999675191777</c:v>
                </c:pt>
                <c:pt idx="2">
                  <c:v>1686.0751522303872</c:v>
                </c:pt>
                <c:pt idx="3">
                  <c:v>8232.3310637467312</c:v>
                </c:pt>
                <c:pt idx="4">
                  <c:v>16819.813811783137</c:v>
                </c:pt>
                <c:pt idx="5">
                  <c:v>25313.995559532726</c:v>
                </c:pt>
                <c:pt idx="6">
                  <c:v>33958.856764502576</c:v>
                </c:pt>
                <c:pt idx="7">
                  <c:v>40576.589205674645</c:v>
                </c:pt>
                <c:pt idx="8">
                  <c:v>46821.190671617784</c:v>
                </c:pt>
                <c:pt idx="9">
                  <c:v>51905.308861719437</c:v>
                </c:pt>
                <c:pt idx="10">
                  <c:v>56633.796416161691</c:v>
                </c:pt>
                <c:pt idx="11">
                  <c:v>59096.442587187121</c:v>
                </c:pt>
                <c:pt idx="12">
                  <c:v>60194.551955052601</c:v>
                </c:pt>
                <c:pt idx="13">
                  <c:v>61699.701893813777</c:v>
                </c:pt>
                <c:pt idx="14">
                  <c:v>62798.404400548206</c:v>
                </c:pt>
              </c:numCache>
            </c:numRef>
          </c:val>
          <c:smooth val="0"/>
          <c:extLst>
            <c:ext xmlns:c16="http://schemas.microsoft.com/office/drawing/2014/chart" uri="{C3380CC4-5D6E-409C-BE32-E72D297353CC}">
              <c16:uniqueId val="{00000000-660D-4117-AA3D-59D0822CC4CD}"/>
            </c:ext>
          </c:extLst>
        </c:ser>
        <c:ser>
          <c:idx val="1"/>
          <c:order val="1"/>
          <c:tx>
            <c:strRef>
              <c:f>Graphs!$W$85</c:f>
              <c:strCache>
                <c:ptCount val="1"/>
                <c:pt idx="0">
                  <c:v>Base</c:v>
                </c:pt>
              </c:strCache>
            </c:strRef>
          </c:tx>
          <c:spPr>
            <a:ln w="28575" cap="rnd" cmpd="sng" algn="ctr">
              <a:solidFill>
                <a:srgbClr val="D97757"/>
              </a:solidFill>
              <a:prstDash val="solid"/>
              <a:round/>
              <a:headEnd type="none" w="med" len="med"/>
              <a:tailEnd type="none" w="med" len="med"/>
            </a:ln>
            <a:effectLst/>
          </c:spPr>
          <c:marker>
            <c:symbol val="none"/>
          </c:marker>
          <c:cat>
            <c:strRef>
              <c:f>Graphs!$U$86:$U$100</c:f>
              <c:strCache>
                <c:ptCount val="15"/>
                <c:pt idx="0">
                  <c:v>FY2026E</c:v>
                </c:pt>
                <c:pt idx="1">
                  <c:v>FY2027E</c:v>
                </c:pt>
                <c:pt idx="2">
                  <c:v>FY2028E</c:v>
                </c:pt>
                <c:pt idx="3">
                  <c:v>FY2029E</c:v>
                </c:pt>
                <c:pt idx="4">
                  <c:v>FY2030E</c:v>
                </c:pt>
                <c:pt idx="5">
                  <c:v>FY2031E</c:v>
                </c:pt>
                <c:pt idx="6">
                  <c:v>FY2032E</c:v>
                </c:pt>
                <c:pt idx="7">
                  <c:v>FY2033E</c:v>
                </c:pt>
                <c:pt idx="8">
                  <c:v>FY2034E</c:v>
                </c:pt>
                <c:pt idx="9">
                  <c:v>FY2035E</c:v>
                </c:pt>
                <c:pt idx="10">
                  <c:v>FY2036E</c:v>
                </c:pt>
                <c:pt idx="11">
                  <c:v>FY2037E</c:v>
                </c:pt>
                <c:pt idx="12">
                  <c:v>FY2038E</c:v>
                </c:pt>
                <c:pt idx="13">
                  <c:v>FY2039E</c:v>
                </c:pt>
                <c:pt idx="14">
                  <c:v>FY2040E</c:v>
                </c:pt>
              </c:strCache>
            </c:strRef>
          </c:cat>
          <c:val>
            <c:numRef>
              <c:f>Graphs!$W$86:$W$100</c:f>
              <c:numCache>
                <c:formatCode>"$"#,##0;\("$"#,##0\);"-"</c:formatCode>
                <c:ptCount val="15"/>
                <c:pt idx="0">
                  <c:v>-7691.9670209974738</c:v>
                </c:pt>
                <c:pt idx="1">
                  <c:v>-4801.4882874661516</c:v>
                </c:pt>
                <c:pt idx="2">
                  <c:v>3968.371421704509</c:v>
                </c:pt>
                <c:pt idx="3">
                  <c:v>25222.107114171264</c:v>
                </c:pt>
                <c:pt idx="4">
                  <c:v>52034.742212435209</c:v>
                </c:pt>
                <c:pt idx="5">
                  <c:v>82563.558011573463</c:v>
                </c:pt>
                <c:pt idx="6">
                  <c:v>119235.30074386888</c:v>
                </c:pt>
                <c:pt idx="7">
                  <c:v>151244.08306370876</c:v>
                </c:pt>
                <c:pt idx="8">
                  <c:v>182081.35582852067</c:v>
                </c:pt>
                <c:pt idx="9">
                  <c:v>209799.88835480314</c:v>
                </c:pt>
                <c:pt idx="10">
                  <c:v>236217.67092995925</c:v>
                </c:pt>
                <c:pt idx="11">
                  <c:v>254738.01727941615</c:v>
                </c:pt>
                <c:pt idx="12">
                  <c:v>267580.94179455569</c:v>
                </c:pt>
                <c:pt idx="13">
                  <c:v>281882.37906316231</c:v>
                </c:pt>
                <c:pt idx="14">
                  <c:v>293683.20253334782</c:v>
                </c:pt>
              </c:numCache>
            </c:numRef>
          </c:val>
          <c:smooth val="0"/>
          <c:extLst>
            <c:ext xmlns:c16="http://schemas.microsoft.com/office/drawing/2014/chart" uri="{C3380CC4-5D6E-409C-BE32-E72D297353CC}">
              <c16:uniqueId val="{00000001-660D-4117-AA3D-59D0822CC4CD}"/>
            </c:ext>
          </c:extLst>
        </c:ser>
        <c:ser>
          <c:idx val="2"/>
          <c:order val="2"/>
          <c:tx>
            <c:strRef>
              <c:f>Graphs!$X$85</c:f>
              <c:strCache>
                <c:ptCount val="1"/>
                <c:pt idx="0">
                  <c:v>Bull</c:v>
                </c:pt>
              </c:strCache>
            </c:strRef>
          </c:tx>
          <c:spPr>
            <a:ln w="28575" cap="rnd" cmpd="sng" algn="ctr">
              <a:solidFill>
                <a:srgbClr val="141413"/>
              </a:solidFill>
              <a:prstDash val="solid"/>
              <a:round/>
              <a:headEnd type="none" w="med" len="med"/>
              <a:tailEnd type="none" w="med" len="med"/>
            </a:ln>
            <a:effectLst/>
          </c:spPr>
          <c:marker>
            <c:symbol val="none"/>
          </c:marker>
          <c:cat>
            <c:strRef>
              <c:f>Graphs!$U$86:$U$100</c:f>
              <c:strCache>
                <c:ptCount val="15"/>
                <c:pt idx="0">
                  <c:v>FY2026E</c:v>
                </c:pt>
                <c:pt idx="1">
                  <c:v>FY2027E</c:v>
                </c:pt>
                <c:pt idx="2">
                  <c:v>FY2028E</c:v>
                </c:pt>
                <c:pt idx="3">
                  <c:v>FY2029E</c:v>
                </c:pt>
                <c:pt idx="4">
                  <c:v>FY2030E</c:v>
                </c:pt>
                <c:pt idx="5">
                  <c:v>FY2031E</c:v>
                </c:pt>
                <c:pt idx="6">
                  <c:v>FY2032E</c:v>
                </c:pt>
                <c:pt idx="7">
                  <c:v>FY2033E</c:v>
                </c:pt>
                <c:pt idx="8">
                  <c:v>FY2034E</c:v>
                </c:pt>
                <c:pt idx="9">
                  <c:v>FY2035E</c:v>
                </c:pt>
                <c:pt idx="10">
                  <c:v>FY2036E</c:v>
                </c:pt>
                <c:pt idx="11">
                  <c:v>FY2037E</c:v>
                </c:pt>
                <c:pt idx="12">
                  <c:v>FY2038E</c:v>
                </c:pt>
                <c:pt idx="13">
                  <c:v>FY2039E</c:v>
                </c:pt>
                <c:pt idx="14">
                  <c:v>FY2040E</c:v>
                </c:pt>
              </c:strCache>
            </c:strRef>
          </c:cat>
          <c:val>
            <c:numRef>
              <c:f>Graphs!$X$86:$X$100</c:f>
              <c:numCache>
                <c:formatCode>"$"#,##0;\("$"#,##0\);"-"</c:formatCode>
                <c:ptCount val="15"/>
                <c:pt idx="0">
                  <c:v>-5667.239760426155</c:v>
                </c:pt>
                <c:pt idx="1">
                  <c:v>-3764.3342102693782</c:v>
                </c:pt>
                <c:pt idx="2">
                  <c:v>11797.775044329464</c:v>
                </c:pt>
                <c:pt idx="3">
                  <c:v>49598.122272654626</c:v>
                </c:pt>
                <c:pt idx="4">
                  <c:v>111790.21446251376</c:v>
                </c:pt>
                <c:pt idx="5">
                  <c:v>187317.87659830213</c:v>
                </c:pt>
                <c:pt idx="6">
                  <c:v>277574.16166260728</c:v>
                </c:pt>
                <c:pt idx="7">
                  <c:v>362979.63425935793</c:v>
                </c:pt>
                <c:pt idx="8">
                  <c:v>447992.5448685743</c:v>
                </c:pt>
                <c:pt idx="9">
                  <c:v>527791.18514407601</c:v>
                </c:pt>
                <c:pt idx="10">
                  <c:v>602989.92622758565</c:v>
                </c:pt>
                <c:pt idx="11">
                  <c:v>659173.95588958939</c:v>
                </c:pt>
                <c:pt idx="12">
                  <c:v>703261.15376719751</c:v>
                </c:pt>
                <c:pt idx="13">
                  <c:v>750322.44993083412</c:v>
                </c:pt>
                <c:pt idx="14">
                  <c:v>792501.33439688338</c:v>
                </c:pt>
              </c:numCache>
            </c:numRef>
          </c:val>
          <c:smooth val="0"/>
          <c:extLst>
            <c:ext xmlns:c16="http://schemas.microsoft.com/office/drawing/2014/chart" uri="{C3380CC4-5D6E-409C-BE32-E72D297353CC}">
              <c16:uniqueId val="{00000002-660D-4117-AA3D-59D0822CC4CD}"/>
            </c:ext>
          </c:extLst>
        </c:ser>
        <c:dLbls>
          <c:showLegendKey val="0"/>
          <c:showVal val="0"/>
          <c:showCatName val="0"/>
          <c:showSerName val="0"/>
          <c:showPercent val="0"/>
          <c:showBubbleSize val="0"/>
        </c:dLbls>
        <c:smooth val="0"/>
        <c:axId val="263681951"/>
        <c:axId val="243628303"/>
      </c:lineChart>
      <c:catAx>
        <c:axId val="26368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41413"/>
                </a:solidFill>
                <a:latin typeface="Calibri"/>
                <a:ea typeface="Calibri"/>
                <a:cs typeface="Calibri"/>
              </a:defRPr>
            </a:pPr>
            <a:endParaRPr lang="en-US"/>
          </a:p>
        </c:txPr>
        <c:crossAx val="243628303"/>
        <c:crosses val="autoZero"/>
        <c:auto val="1"/>
        <c:lblAlgn val="ctr"/>
        <c:lblOffset val="100"/>
        <c:noMultiLvlLbl val="0"/>
      </c:catAx>
      <c:valAx>
        <c:axId val="2436283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41413"/>
                </a:solidFill>
                <a:latin typeface="Calibri"/>
                <a:ea typeface="Calibri"/>
                <a:cs typeface="Calibri"/>
              </a:defRPr>
            </a:pPr>
            <a:endParaRPr lang="en-US"/>
          </a:p>
        </c:txPr>
        <c:crossAx val="263681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141413"/>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solidFill>
            <a:srgbClr val="141413"/>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41413"/>
                </a:solidFill>
                <a:latin typeface="Calibri"/>
                <a:ea typeface="Calibri"/>
                <a:cs typeface="Calibri"/>
              </a:defRPr>
            </a:pPr>
            <a:r>
              <a:rPr lang="en-US"/>
              <a:t>Quarterly operating expenses (% of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41413"/>
              </a:solidFill>
              <a:latin typeface="Calibri"/>
              <a:ea typeface="Calibri"/>
              <a:cs typeface="Calibri"/>
            </a:defRPr>
          </a:pPr>
          <a:endParaRPr lang="en-US"/>
        </a:p>
      </c:txPr>
    </c:title>
    <c:autoTitleDeleted val="0"/>
    <c:plotArea>
      <c:layout/>
      <c:lineChart>
        <c:grouping val="standard"/>
        <c:varyColors val="0"/>
        <c:ser>
          <c:idx val="0"/>
          <c:order val="0"/>
          <c:tx>
            <c:v>Compute &amp; infrastructure</c:v>
          </c:tx>
          <c:spPr>
            <a:ln w="28575" cap="rnd" cmpd="sng" algn="ctr">
              <a:solidFill>
                <a:srgbClr val="D97757"/>
              </a:solidFill>
              <a:prstDash val="solid"/>
              <a:round/>
              <a:headEnd type="none" w="med" len="med"/>
              <a:tailEnd type="none" w="med" len="med"/>
            </a:ln>
            <a:effectLst/>
          </c:spPr>
          <c:marker>
            <c:symbol val="none"/>
          </c:marker>
          <c:cat>
            <c:strRef>
              <c:f>Graphs!$U$24:$U$35</c:f>
              <c:strCache>
                <c:ptCount val="12"/>
                <c:pt idx="0">
                  <c:v>Q1 2025A</c:v>
                </c:pt>
                <c:pt idx="1">
                  <c:v>Q2 2025A</c:v>
                </c:pt>
                <c:pt idx="2">
                  <c:v>Q3 2025A</c:v>
                </c:pt>
                <c:pt idx="3">
                  <c:v>Q4 2025A</c:v>
                </c:pt>
                <c:pt idx="4">
                  <c:v>Q1 2026A</c:v>
                </c:pt>
                <c:pt idx="5">
                  <c:v>Q2 2026A</c:v>
                </c:pt>
                <c:pt idx="6">
                  <c:v>Q3 2026A</c:v>
                </c:pt>
                <c:pt idx="7">
                  <c:v>Q4 2026A</c:v>
                </c:pt>
                <c:pt idx="8">
                  <c:v>Q1 2027A</c:v>
                </c:pt>
                <c:pt idx="9">
                  <c:v>Q2 2027A</c:v>
                </c:pt>
                <c:pt idx="10">
                  <c:v>Q3 2027A</c:v>
                </c:pt>
                <c:pt idx="11">
                  <c:v>Q4 2027A</c:v>
                </c:pt>
              </c:strCache>
            </c:strRef>
          </c:cat>
          <c:val>
            <c:numRef>
              <c:f>Graphs!$X$24:$X$35</c:f>
              <c:numCache>
                <c:formatCode>0.0%</c:formatCode>
                <c:ptCount val="12"/>
                <c:pt idx="0">
                  <c:v>2.5106382978723403</c:v>
                </c:pt>
                <c:pt idx="1">
                  <c:v>1.7662007623888183</c:v>
                </c:pt>
                <c:pt idx="2">
                  <c:v>1.4811866859623735</c:v>
                </c:pt>
                <c:pt idx="3">
                  <c:v>1.4436274509803921</c:v>
                </c:pt>
                <c:pt idx="4">
                  <c:v>0.71591629676601143</c:v>
                </c:pt>
                <c:pt idx="5">
                  <c:v>0.48100389441800084</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0-4499-454B-B605-572F42D2777A}"/>
            </c:ext>
          </c:extLst>
        </c:ser>
        <c:ser>
          <c:idx val="1"/>
          <c:order val="1"/>
          <c:tx>
            <c:v>Personnel</c:v>
          </c:tx>
          <c:spPr>
            <a:ln w="28575" cap="rnd" cmpd="sng" algn="ctr">
              <a:solidFill>
                <a:srgbClr val="141413"/>
              </a:solidFill>
              <a:prstDash val="solid"/>
              <a:round/>
              <a:headEnd type="none" w="med" len="med"/>
              <a:tailEnd type="none" w="med" len="med"/>
            </a:ln>
            <a:effectLst/>
          </c:spPr>
          <c:marker>
            <c:symbol val="none"/>
          </c:marker>
          <c:cat>
            <c:strRef>
              <c:f>Graphs!$U$24:$U$35</c:f>
              <c:strCache>
                <c:ptCount val="12"/>
                <c:pt idx="0">
                  <c:v>Q1 2025A</c:v>
                </c:pt>
                <c:pt idx="1">
                  <c:v>Q2 2025A</c:v>
                </c:pt>
                <c:pt idx="2">
                  <c:v>Q3 2025A</c:v>
                </c:pt>
                <c:pt idx="3">
                  <c:v>Q4 2025A</c:v>
                </c:pt>
                <c:pt idx="4">
                  <c:v>Q1 2026A</c:v>
                </c:pt>
                <c:pt idx="5">
                  <c:v>Q2 2026A</c:v>
                </c:pt>
                <c:pt idx="6">
                  <c:v>Q3 2026A</c:v>
                </c:pt>
                <c:pt idx="7">
                  <c:v>Q4 2026A</c:v>
                </c:pt>
                <c:pt idx="8">
                  <c:v>Q1 2027A</c:v>
                </c:pt>
                <c:pt idx="9">
                  <c:v>Q2 2027A</c:v>
                </c:pt>
                <c:pt idx="10">
                  <c:v>Q3 2027A</c:v>
                </c:pt>
                <c:pt idx="11">
                  <c:v>Q4 2027A</c:v>
                </c:pt>
              </c:strCache>
            </c:strRef>
          </c:cat>
          <c:val>
            <c:numRef>
              <c:f>Graphs!$Y$24:$Y$35</c:f>
              <c:numCache>
                <c:formatCode>0.0%</c:formatCode>
                <c:ptCount val="12"/>
                <c:pt idx="0">
                  <c:v>0.57978723404255317</c:v>
                </c:pt>
                <c:pt idx="1">
                  <c:v>0.40660736975857686</c:v>
                </c:pt>
                <c:pt idx="2">
                  <c:v>0.35383502170767006</c:v>
                </c:pt>
                <c:pt idx="3">
                  <c:v>0.39803921568627448</c:v>
                </c:pt>
                <c:pt idx="4">
                  <c:v>0.27372648488691609</c:v>
                </c:pt>
                <c:pt idx="5">
                  <c:v>0.16070964950237993</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1-4499-454B-B605-572F42D2777A}"/>
            </c:ext>
          </c:extLst>
        </c:ser>
        <c:ser>
          <c:idx val="2"/>
          <c:order val="2"/>
          <c:tx>
            <c:v>Sales, marketing &amp; partnerships</c:v>
          </c:tx>
          <c:spPr>
            <a:ln w="28575" cap="rnd" cmpd="sng" algn="ctr">
              <a:solidFill>
                <a:srgbClr val="B0AEA5"/>
              </a:solidFill>
              <a:prstDash val="solid"/>
              <a:round/>
              <a:headEnd type="none" w="med" len="med"/>
              <a:tailEnd type="none" w="med" len="med"/>
            </a:ln>
            <a:effectLst/>
          </c:spPr>
          <c:marker>
            <c:symbol val="none"/>
          </c:marker>
          <c:cat>
            <c:strRef>
              <c:f>Graphs!$U$24:$U$35</c:f>
              <c:strCache>
                <c:ptCount val="12"/>
                <c:pt idx="0">
                  <c:v>Q1 2025A</c:v>
                </c:pt>
                <c:pt idx="1">
                  <c:v>Q2 2025A</c:v>
                </c:pt>
                <c:pt idx="2">
                  <c:v>Q3 2025A</c:v>
                </c:pt>
                <c:pt idx="3">
                  <c:v>Q4 2025A</c:v>
                </c:pt>
                <c:pt idx="4">
                  <c:v>Q1 2026A</c:v>
                </c:pt>
                <c:pt idx="5">
                  <c:v>Q2 2026A</c:v>
                </c:pt>
                <c:pt idx="6">
                  <c:v>Q3 2026A</c:v>
                </c:pt>
                <c:pt idx="7">
                  <c:v>Q4 2026A</c:v>
                </c:pt>
                <c:pt idx="8">
                  <c:v>Q1 2027A</c:v>
                </c:pt>
                <c:pt idx="9">
                  <c:v>Q2 2027A</c:v>
                </c:pt>
                <c:pt idx="10">
                  <c:v>Q3 2027A</c:v>
                </c:pt>
                <c:pt idx="11">
                  <c:v>Q4 2027A</c:v>
                </c:pt>
              </c:strCache>
            </c:strRef>
          </c:cat>
          <c:val>
            <c:numRef>
              <c:f>Graphs!$Z$24:$Z$35</c:f>
              <c:numCache>
                <c:formatCode>0.0%</c:formatCode>
                <c:ptCount val="12"/>
                <c:pt idx="0">
                  <c:v>6.3829787234042548E-2</c:v>
                </c:pt>
                <c:pt idx="1">
                  <c:v>0.12198221092757307</c:v>
                </c:pt>
                <c:pt idx="2">
                  <c:v>0.14616497829232997</c:v>
                </c:pt>
                <c:pt idx="3">
                  <c:v>0.12058823529411765</c:v>
                </c:pt>
                <c:pt idx="4">
                  <c:v>0.21834707250052843</c:v>
                </c:pt>
                <c:pt idx="5">
                  <c:v>0.18476849848550411</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4499-454B-B605-572F42D2777A}"/>
            </c:ext>
          </c:extLst>
        </c:ser>
        <c:dLbls>
          <c:showLegendKey val="0"/>
          <c:showVal val="0"/>
          <c:showCatName val="0"/>
          <c:showSerName val="0"/>
          <c:showPercent val="0"/>
          <c:showBubbleSize val="0"/>
        </c:dLbls>
        <c:smooth val="0"/>
        <c:axId val="232517743"/>
        <c:axId val="243715183"/>
      </c:lineChart>
      <c:catAx>
        <c:axId val="23251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a:ea typeface="Calibri"/>
                <a:cs typeface="Calibri"/>
              </a:defRPr>
            </a:pPr>
            <a:endParaRPr lang="en-US"/>
          </a:p>
        </c:txPr>
        <c:crossAx val="243715183"/>
        <c:crosses val="autoZero"/>
        <c:auto val="1"/>
        <c:lblAlgn val="ctr"/>
        <c:lblOffset val="100"/>
        <c:noMultiLvlLbl val="0"/>
      </c:catAx>
      <c:valAx>
        <c:axId val="243715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a:ea typeface="Calibri"/>
                <a:cs typeface="Calibri"/>
              </a:defRPr>
            </a:pPr>
            <a:endParaRPr lang="en-US"/>
          </a:p>
        </c:txPr>
        <c:crossAx val="232517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Graphs!$U$5</c:f>
          <c:strCache>
            <c:ptCount val="1"/>
            <c:pt idx="0">
              <c:v>Income statement bridge – 6M 2026A ($M), as reported in S-1 / 10-Q</c:v>
            </c:pt>
          </c:strCache>
        </c:strRef>
      </c:tx>
      <c:overlay val="0"/>
      <c:spPr>
        <a:noFill/>
        <a:ln>
          <a:noFill/>
        </a:ln>
        <a:effectLst/>
      </c:spPr>
      <c:txPr>
        <a:bodyPr rot="0" spcFirstLastPara="1" vertOverflow="ellipsis" vert="horz" wrap="square" anchor="ctr" anchorCtr="1"/>
        <a:lstStyle/>
        <a:p>
          <a:pPr>
            <a:defRPr sz="1300" b="0" i="0" u="none" strike="noStrike" kern="1200" spc="0" baseline="0">
              <a:solidFill>
                <a:srgbClr val="141413"/>
              </a:solidFill>
              <a:latin typeface="+mn-lt"/>
              <a:ea typeface="+mn-ea"/>
              <a:cs typeface="+mn-cs"/>
            </a:defRPr>
          </a:pPr>
          <a:endParaRPr lang="en-US"/>
        </a:p>
      </c:txPr>
    </c:title>
    <c:autoTitleDeleted val="0"/>
    <c:plotArea>
      <c:layout/>
      <c:barChart>
        <c:barDir val="col"/>
        <c:grouping val="stacked"/>
        <c:varyColors val="0"/>
        <c:ser>
          <c:idx val="0"/>
          <c:order val="0"/>
          <c:tx>
            <c:strRef>
              <c:f>Graphs!$AB$7</c:f>
              <c:strCache>
                <c:ptCount val="1"/>
                <c:pt idx="0">
                  <c:v>Inv +</c:v>
                </c:pt>
              </c:strCache>
            </c:strRef>
          </c:tx>
          <c:spPr>
            <a:noFill/>
            <a:ln w="25400">
              <a:noFill/>
            </a:ln>
            <a:effectLst/>
          </c:spPr>
          <c:invertIfNegative val="0"/>
          <c:cat>
            <c:strRef>
              <c:f>Graphs!$AA$8:$AA$20</c:f>
              <c:strCache>
                <c:ptCount val="13"/>
                <c:pt idx="0">
                  <c:v>Revenue
$16,286</c:v>
                </c:pt>
                <c:pt idx="1">
                  <c:v>Compute &amp; infra
($8,945)</c:v>
                </c:pt>
                <c:pt idx="2">
                  <c:v>Personnel
($3,152)</c:v>
                </c:pt>
                <c:pt idx="3">
                  <c:v>Bartz settlement
-</c:v>
                </c:pt>
                <c:pt idx="4">
                  <c:v>S&amp;M &amp; partnerships
($3,168)</c:v>
                </c:pt>
                <c:pt idx="5">
                  <c:v>Other op. &amp; admin
($1,714)</c:v>
                </c:pt>
                <c:pt idx="6">
                  <c:v>Operating income
($693)</c:v>
                </c:pt>
                <c:pt idx="7">
                  <c:v>Interest income
$1,111</c:v>
                </c:pt>
                <c:pt idx="8">
                  <c:v>FV change – notes &amp; SAFEs
($72,388)</c:v>
                </c:pt>
                <c:pt idx="9">
                  <c:v>Other income (exp.)
($8,757)</c:v>
                </c:pt>
                <c:pt idx="10">
                  <c:v>Pre-tax loss
($80,727)</c:v>
                </c:pt>
                <c:pt idx="11">
                  <c:v>Tax provision
($21)</c:v>
                </c:pt>
                <c:pt idx="12">
                  <c:v>Net loss
($80,748)</c:v>
                </c:pt>
              </c:strCache>
            </c:strRef>
          </c:cat>
          <c:val>
            <c:numRef>
              <c:f>Graphs!$AB$8:$AB$20</c:f>
              <c:numCache>
                <c:formatCode>"$"#,##0;\("$"#,##0\);"-"</c:formatCode>
                <c:ptCount val="13"/>
                <c:pt idx="0">
                  <c:v>0</c:v>
                </c:pt>
                <c:pt idx="1">
                  <c:v>7341</c:v>
                </c:pt>
                <c:pt idx="2">
                  <c:v>4189</c:v>
                </c:pt>
                <c:pt idx="3">
                  <c:v>4189</c:v>
                </c:pt>
                <c:pt idx="4">
                  <c:v>1021</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8475-4B46-B177-2506AF2AD00A}"/>
            </c:ext>
          </c:extLst>
        </c:ser>
        <c:ser>
          <c:idx val="1"/>
          <c:order val="1"/>
          <c:tx>
            <c:strRef>
              <c:f>Graphs!$AC$7</c:f>
              <c:strCache>
                <c:ptCount val="1"/>
                <c:pt idx="0">
                  <c:v>Inv −</c:v>
                </c:pt>
              </c:strCache>
            </c:strRef>
          </c:tx>
          <c:spPr>
            <a:noFill/>
            <a:ln w="25400">
              <a:noFill/>
            </a:ln>
            <a:effectLst/>
          </c:spPr>
          <c:invertIfNegative val="0"/>
          <c:cat>
            <c:strRef>
              <c:f>Graphs!$AA$8:$AA$20</c:f>
              <c:strCache>
                <c:ptCount val="13"/>
                <c:pt idx="0">
                  <c:v>Revenue
$16,286</c:v>
                </c:pt>
                <c:pt idx="1">
                  <c:v>Compute &amp; infra
($8,945)</c:v>
                </c:pt>
                <c:pt idx="2">
                  <c:v>Personnel
($3,152)</c:v>
                </c:pt>
                <c:pt idx="3">
                  <c:v>Bartz settlement
-</c:v>
                </c:pt>
                <c:pt idx="4">
                  <c:v>S&amp;M &amp; partnerships
($3,168)</c:v>
                </c:pt>
                <c:pt idx="5">
                  <c:v>Other op. &amp; admin
($1,714)</c:v>
                </c:pt>
                <c:pt idx="6">
                  <c:v>Operating income
($693)</c:v>
                </c:pt>
                <c:pt idx="7">
                  <c:v>Interest income
$1,111</c:v>
                </c:pt>
                <c:pt idx="8">
                  <c:v>FV change – notes &amp; SAFEs
($72,388)</c:v>
                </c:pt>
                <c:pt idx="9">
                  <c:v>Other income (exp.)
($8,757)</c:v>
                </c:pt>
                <c:pt idx="10">
                  <c:v>Pre-tax loss
($80,727)</c:v>
                </c:pt>
                <c:pt idx="11">
                  <c:v>Tax provision
($21)</c:v>
                </c:pt>
                <c:pt idx="12">
                  <c:v>Net loss
($80,748)</c:v>
                </c:pt>
              </c:strCache>
            </c:strRef>
          </c:cat>
          <c:val>
            <c:numRef>
              <c:f>Graphs!$AC$8:$AC$20</c:f>
              <c:numCache>
                <c:formatCode>"$"#,##0;\("$"#,##0\);"-"</c:formatCode>
                <c:ptCount val="13"/>
                <c:pt idx="0">
                  <c:v>0</c:v>
                </c:pt>
                <c:pt idx="1">
                  <c:v>0</c:v>
                </c:pt>
                <c:pt idx="2">
                  <c:v>0</c:v>
                </c:pt>
                <c:pt idx="3">
                  <c:v>0</c:v>
                </c:pt>
                <c:pt idx="4">
                  <c:v>0</c:v>
                </c:pt>
                <c:pt idx="5">
                  <c:v>0</c:v>
                </c:pt>
                <c:pt idx="6">
                  <c:v>0</c:v>
                </c:pt>
                <c:pt idx="7">
                  <c:v>0</c:v>
                </c:pt>
                <c:pt idx="8">
                  <c:v>0</c:v>
                </c:pt>
                <c:pt idx="9">
                  <c:v>-71970</c:v>
                </c:pt>
                <c:pt idx="10">
                  <c:v>0</c:v>
                </c:pt>
                <c:pt idx="11">
                  <c:v>-80727</c:v>
                </c:pt>
                <c:pt idx="12">
                  <c:v>0</c:v>
                </c:pt>
              </c:numCache>
            </c:numRef>
          </c:val>
          <c:extLst>
            <c:ext xmlns:c16="http://schemas.microsoft.com/office/drawing/2014/chart" uri="{C3380CC4-5D6E-409C-BE32-E72D297353CC}">
              <c16:uniqueId val="{00000001-8475-4B46-B177-2506AF2AD00A}"/>
            </c:ext>
          </c:extLst>
        </c:ser>
        <c:ser>
          <c:idx val="2"/>
          <c:order val="2"/>
          <c:tx>
            <c:strRef>
              <c:f>Graphs!$AD$7</c:f>
              <c:strCache>
                <c:ptCount val="1"/>
                <c:pt idx="0">
                  <c:v>Consumption</c:v>
                </c:pt>
              </c:strCache>
            </c:strRef>
          </c:tx>
          <c:spPr>
            <a:solidFill>
              <a:srgbClr val="D97757"/>
            </a:solidFill>
            <a:ln w="25400">
              <a:noFill/>
            </a:ln>
            <a:effectLst/>
          </c:spPr>
          <c:invertIfNegative val="0"/>
          <c:cat>
            <c:strRef>
              <c:f>Graphs!$AA$8:$AA$20</c:f>
              <c:strCache>
                <c:ptCount val="13"/>
                <c:pt idx="0">
                  <c:v>Revenue
$16,286</c:v>
                </c:pt>
                <c:pt idx="1">
                  <c:v>Compute &amp; infra
($8,945)</c:v>
                </c:pt>
                <c:pt idx="2">
                  <c:v>Personnel
($3,152)</c:v>
                </c:pt>
                <c:pt idx="3">
                  <c:v>Bartz settlement
-</c:v>
                </c:pt>
                <c:pt idx="4">
                  <c:v>S&amp;M &amp; partnerships
($3,168)</c:v>
                </c:pt>
                <c:pt idx="5">
                  <c:v>Other op. &amp; admin
($1,714)</c:v>
                </c:pt>
                <c:pt idx="6">
                  <c:v>Operating income
($693)</c:v>
                </c:pt>
                <c:pt idx="7">
                  <c:v>Interest income
$1,111</c:v>
                </c:pt>
                <c:pt idx="8">
                  <c:v>FV change – notes &amp; SAFEs
($72,388)</c:v>
                </c:pt>
                <c:pt idx="9">
                  <c:v>Other income (exp.)
($8,757)</c:v>
                </c:pt>
                <c:pt idx="10">
                  <c:v>Pre-tax loss
($80,727)</c:v>
                </c:pt>
                <c:pt idx="11">
                  <c:v>Tax provision
($21)</c:v>
                </c:pt>
                <c:pt idx="12">
                  <c:v>Net loss
($80,748)</c:v>
                </c:pt>
              </c:strCache>
            </c:strRef>
          </c:cat>
          <c:val>
            <c:numRef>
              <c:f>Graphs!$AD$8:$AD$20</c:f>
              <c:numCache>
                <c:formatCode>"$"#,##0;\("$"#,##0\);"-"</c:formatCode>
                <c:ptCount val="13"/>
                <c:pt idx="0">
                  <c:v>13064</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8475-4B46-B177-2506AF2AD00A}"/>
            </c:ext>
          </c:extLst>
        </c:ser>
        <c:ser>
          <c:idx val="3"/>
          <c:order val="3"/>
          <c:tx>
            <c:strRef>
              <c:f>Graphs!$AE$7</c:f>
              <c:strCache>
                <c:ptCount val="1"/>
                <c:pt idx="0">
                  <c:v>Subscription</c:v>
                </c:pt>
              </c:strCache>
            </c:strRef>
          </c:tx>
          <c:spPr>
            <a:solidFill>
              <a:srgbClr val="EBDBBC"/>
            </a:solidFill>
            <a:ln w="25400">
              <a:noFill/>
            </a:ln>
            <a:effectLst/>
          </c:spPr>
          <c:invertIfNegative val="0"/>
          <c:cat>
            <c:strRef>
              <c:f>Graphs!$AA$8:$AA$20</c:f>
              <c:strCache>
                <c:ptCount val="13"/>
                <c:pt idx="0">
                  <c:v>Revenue
$16,286</c:v>
                </c:pt>
                <c:pt idx="1">
                  <c:v>Compute &amp; infra
($8,945)</c:v>
                </c:pt>
                <c:pt idx="2">
                  <c:v>Personnel
($3,152)</c:v>
                </c:pt>
                <c:pt idx="3">
                  <c:v>Bartz settlement
-</c:v>
                </c:pt>
                <c:pt idx="4">
                  <c:v>S&amp;M &amp; partnerships
($3,168)</c:v>
                </c:pt>
                <c:pt idx="5">
                  <c:v>Other op. &amp; admin
($1,714)</c:v>
                </c:pt>
                <c:pt idx="6">
                  <c:v>Operating income
($693)</c:v>
                </c:pt>
                <c:pt idx="7">
                  <c:v>Interest income
$1,111</c:v>
                </c:pt>
                <c:pt idx="8">
                  <c:v>FV change – notes &amp; SAFEs
($72,388)</c:v>
                </c:pt>
                <c:pt idx="9">
                  <c:v>Other income (exp.)
($8,757)</c:v>
                </c:pt>
                <c:pt idx="10">
                  <c:v>Pre-tax loss
($80,727)</c:v>
                </c:pt>
                <c:pt idx="11">
                  <c:v>Tax provision
($21)</c:v>
                </c:pt>
                <c:pt idx="12">
                  <c:v>Net loss
($80,748)</c:v>
                </c:pt>
              </c:strCache>
            </c:strRef>
          </c:cat>
          <c:val>
            <c:numRef>
              <c:f>Graphs!$AE$8:$AE$20</c:f>
              <c:numCache>
                <c:formatCode>"$"#,##0;\("$"#,##0\);"-"</c:formatCode>
                <c:ptCount val="13"/>
                <c:pt idx="0">
                  <c:v>3222</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8475-4B46-B177-2506AF2AD00A}"/>
            </c:ext>
          </c:extLst>
        </c:ser>
        <c:ser>
          <c:idx val="4"/>
          <c:order val="4"/>
          <c:tx>
            <c:strRef>
              <c:f>Graphs!$AF$7</c:f>
              <c:strCache>
                <c:ptCount val="1"/>
                <c:pt idx="0">
                  <c:v>Costs</c:v>
                </c:pt>
              </c:strCache>
            </c:strRef>
          </c:tx>
          <c:spPr>
            <a:solidFill>
              <a:srgbClr val="B0AEA5"/>
            </a:solidFill>
            <a:ln w="25400">
              <a:noFill/>
            </a:ln>
            <a:effectLst/>
          </c:spPr>
          <c:invertIfNegative val="0"/>
          <c:cat>
            <c:strRef>
              <c:f>Graphs!$AA$8:$AA$20</c:f>
              <c:strCache>
                <c:ptCount val="13"/>
                <c:pt idx="0">
                  <c:v>Revenue
$16,286</c:v>
                </c:pt>
                <c:pt idx="1">
                  <c:v>Compute &amp; infra
($8,945)</c:v>
                </c:pt>
                <c:pt idx="2">
                  <c:v>Personnel
($3,152)</c:v>
                </c:pt>
                <c:pt idx="3">
                  <c:v>Bartz settlement
-</c:v>
                </c:pt>
                <c:pt idx="4">
                  <c:v>S&amp;M &amp; partnerships
($3,168)</c:v>
                </c:pt>
                <c:pt idx="5">
                  <c:v>Other op. &amp; admin
($1,714)</c:v>
                </c:pt>
                <c:pt idx="6">
                  <c:v>Operating income
($693)</c:v>
                </c:pt>
                <c:pt idx="7">
                  <c:v>Interest income
$1,111</c:v>
                </c:pt>
                <c:pt idx="8">
                  <c:v>FV change – notes &amp; SAFEs
($72,388)</c:v>
                </c:pt>
                <c:pt idx="9">
                  <c:v>Other income (exp.)
($8,757)</c:v>
                </c:pt>
                <c:pt idx="10">
                  <c:v>Pre-tax loss
($80,727)</c:v>
                </c:pt>
                <c:pt idx="11">
                  <c:v>Tax provision
($21)</c:v>
                </c:pt>
                <c:pt idx="12">
                  <c:v>Net loss
($80,748)</c:v>
                </c:pt>
              </c:strCache>
            </c:strRef>
          </c:cat>
          <c:val>
            <c:numRef>
              <c:f>Graphs!$AF$8:$AF$20</c:f>
              <c:numCache>
                <c:formatCode>"$"#,##0;\("$"#,##0\);"-"</c:formatCode>
                <c:ptCount val="13"/>
                <c:pt idx="0">
                  <c:v>0</c:v>
                </c:pt>
                <c:pt idx="1">
                  <c:v>8945</c:v>
                </c:pt>
                <c:pt idx="2">
                  <c:v>3152</c:v>
                </c:pt>
                <c:pt idx="3">
                  <c:v>0</c:v>
                </c:pt>
                <c:pt idx="4">
                  <c:v>3168</c:v>
                </c:pt>
                <c:pt idx="5">
                  <c:v>1021</c:v>
                </c:pt>
                <c:pt idx="6">
                  <c:v>0</c:v>
                </c:pt>
                <c:pt idx="7">
                  <c:v>0</c:v>
                </c:pt>
                <c:pt idx="8">
                  <c:v>418</c:v>
                </c:pt>
                <c:pt idx="9">
                  <c:v>0</c:v>
                </c:pt>
                <c:pt idx="10">
                  <c:v>0</c:v>
                </c:pt>
                <c:pt idx="11">
                  <c:v>0</c:v>
                </c:pt>
                <c:pt idx="12">
                  <c:v>0</c:v>
                </c:pt>
              </c:numCache>
            </c:numRef>
          </c:val>
          <c:extLst>
            <c:ext xmlns:c16="http://schemas.microsoft.com/office/drawing/2014/chart" uri="{C3380CC4-5D6E-409C-BE32-E72D297353CC}">
              <c16:uniqueId val="{00000004-8475-4B46-B177-2506AF2AD00A}"/>
            </c:ext>
          </c:extLst>
        </c:ser>
        <c:ser>
          <c:idx val="5"/>
          <c:order val="5"/>
          <c:tx>
            <c:strRef>
              <c:f>Graphs!$AG$7</c:f>
              <c:strCache>
                <c:ptCount val="1"/>
                <c:pt idx="0">
                  <c:v>Costs </c:v>
                </c:pt>
              </c:strCache>
            </c:strRef>
          </c:tx>
          <c:spPr>
            <a:solidFill>
              <a:srgbClr val="B0AEA5"/>
            </a:solidFill>
            <a:ln w="25400">
              <a:noFill/>
            </a:ln>
            <a:effectLst/>
          </c:spPr>
          <c:invertIfNegative val="0"/>
          <c:cat>
            <c:strRef>
              <c:f>Graphs!$AA$8:$AA$20</c:f>
              <c:strCache>
                <c:ptCount val="13"/>
                <c:pt idx="0">
                  <c:v>Revenue
$16,286</c:v>
                </c:pt>
                <c:pt idx="1">
                  <c:v>Compute &amp; infra
($8,945)</c:v>
                </c:pt>
                <c:pt idx="2">
                  <c:v>Personnel
($3,152)</c:v>
                </c:pt>
                <c:pt idx="3">
                  <c:v>Bartz settlement
-</c:v>
                </c:pt>
                <c:pt idx="4">
                  <c:v>S&amp;M &amp; partnerships
($3,168)</c:v>
                </c:pt>
                <c:pt idx="5">
                  <c:v>Other op. &amp; admin
($1,714)</c:v>
                </c:pt>
                <c:pt idx="6">
                  <c:v>Operating income
($693)</c:v>
                </c:pt>
                <c:pt idx="7">
                  <c:v>Interest income
$1,111</c:v>
                </c:pt>
                <c:pt idx="8">
                  <c:v>FV change – notes &amp; SAFEs
($72,388)</c:v>
                </c:pt>
                <c:pt idx="9">
                  <c:v>Other income (exp.)
($8,757)</c:v>
                </c:pt>
                <c:pt idx="10">
                  <c:v>Pre-tax loss
($80,727)</c:v>
                </c:pt>
                <c:pt idx="11">
                  <c:v>Tax provision
($21)</c:v>
                </c:pt>
                <c:pt idx="12">
                  <c:v>Net loss
($80,748)</c:v>
                </c:pt>
              </c:strCache>
            </c:strRef>
          </c:cat>
          <c:val>
            <c:numRef>
              <c:f>Graphs!$AG$8:$AG$20</c:f>
              <c:numCache>
                <c:formatCode>"$"#,##0;\("$"#,##0\);"-"</c:formatCode>
                <c:ptCount val="13"/>
                <c:pt idx="0">
                  <c:v>0</c:v>
                </c:pt>
                <c:pt idx="1">
                  <c:v>0</c:v>
                </c:pt>
                <c:pt idx="2">
                  <c:v>0</c:v>
                </c:pt>
                <c:pt idx="3">
                  <c:v>0</c:v>
                </c:pt>
                <c:pt idx="4">
                  <c:v>0</c:v>
                </c:pt>
                <c:pt idx="5">
                  <c:v>-693</c:v>
                </c:pt>
                <c:pt idx="6">
                  <c:v>0</c:v>
                </c:pt>
                <c:pt idx="7">
                  <c:v>0</c:v>
                </c:pt>
                <c:pt idx="8">
                  <c:v>-71970</c:v>
                </c:pt>
                <c:pt idx="9">
                  <c:v>-8757</c:v>
                </c:pt>
                <c:pt idx="10">
                  <c:v>0</c:v>
                </c:pt>
                <c:pt idx="11">
                  <c:v>-21</c:v>
                </c:pt>
                <c:pt idx="12">
                  <c:v>0</c:v>
                </c:pt>
              </c:numCache>
            </c:numRef>
          </c:val>
          <c:extLst>
            <c:ext xmlns:c16="http://schemas.microsoft.com/office/drawing/2014/chart" uri="{C3380CC4-5D6E-409C-BE32-E72D297353CC}">
              <c16:uniqueId val="{00000005-8475-4B46-B177-2506AF2AD00A}"/>
            </c:ext>
          </c:extLst>
        </c:ser>
        <c:ser>
          <c:idx val="6"/>
          <c:order val="6"/>
          <c:tx>
            <c:strRef>
              <c:f>Graphs!$AH$7</c:f>
              <c:strCache>
                <c:ptCount val="1"/>
                <c:pt idx="0">
                  <c:v>Income</c:v>
                </c:pt>
              </c:strCache>
            </c:strRef>
          </c:tx>
          <c:spPr>
            <a:solidFill>
              <a:srgbClr val="D4A27F"/>
            </a:solidFill>
            <a:ln w="25400">
              <a:noFill/>
            </a:ln>
            <a:effectLst/>
          </c:spPr>
          <c:invertIfNegative val="0"/>
          <c:cat>
            <c:strRef>
              <c:f>Graphs!$AA$8:$AA$20</c:f>
              <c:strCache>
                <c:ptCount val="13"/>
                <c:pt idx="0">
                  <c:v>Revenue
$16,286</c:v>
                </c:pt>
                <c:pt idx="1">
                  <c:v>Compute &amp; infra
($8,945)</c:v>
                </c:pt>
                <c:pt idx="2">
                  <c:v>Personnel
($3,152)</c:v>
                </c:pt>
                <c:pt idx="3">
                  <c:v>Bartz settlement
-</c:v>
                </c:pt>
                <c:pt idx="4">
                  <c:v>S&amp;M &amp; partnerships
($3,168)</c:v>
                </c:pt>
                <c:pt idx="5">
                  <c:v>Other op. &amp; admin
($1,714)</c:v>
                </c:pt>
                <c:pt idx="6">
                  <c:v>Operating income
($693)</c:v>
                </c:pt>
                <c:pt idx="7">
                  <c:v>Interest income
$1,111</c:v>
                </c:pt>
                <c:pt idx="8">
                  <c:v>FV change – notes &amp; SAFEs
($72,388)</c:v>
                </c:pt>
                <c:pt idx="9">
                  <c:v>Other income (exp.)
($8,757)</c:v>
                </c:pt>
                <c:pt idx="10">
                  <c:v>Pre-tax loss
($80,727)</c:v>
                </c:pt>
                <c:pt idx="11">
                  <c:v>Tax provision
($21)</c:v>
                </c:pt>
                <c:pt idx="12">
                  <c:v>Net loss
($80,748)</c:v>
                </c:pt>
              </c:strCache>
            </c:strRef>
          </c:cat>
          <c:val>
            <c:numRef>
              <c:f>Graphs!$AH$8:$AH$20</c:f>
              <c:numCache>
                <c:formatCode>"$"#,##0;\("$"#,##0\);"-"</c:formatCode>
                <c:ptCount val="13"/>
                <c:pt idx="0">
                  <c:v>0</c:v>
                </c:pt>
                <c:pt idx="1">
                  <c:v>0</c:v>
                </c:pt>
                <c:pt idx="2">
                  <c:v>0</c:v>
                </c:pt>
                <c:pt idx="3">
                  <c:v>0</c:v>
                </c:pt>
                <c:pt idx="4">
                  <c:v>0</c:v>
                </c:pt>
                <c:pt idx="5">
                  <c:v>0</c:v>
                </c:pt>
                <c:pt idx="6">
                  <c:v>0</c:v>
                </c:pt>
                <c:pt idx="7">
                  <c:v>418</c:v>
                </c:pt>
                <c:pt idx="8">
                  <c:v>0</c:v>
                </c:pt>
                <c:pt idx="9">
                  <c:v>0</c:v>
                </c:pt>
                <c:pt idx="10">
                  <c:v>0</c:v>
                </c:pt>
                <c:pt idx="11">
                  <c:v>0</c:v>
                </c:pt>
                <c:pt idx="12">
                  <c:v>0</c:v>
                </c:pt>
              </c:numCache>
            </c:numRef>
          </c:val>
          <c:extLst>
            <c:ext xmlns:c16="http://schemas.microsoft.com/office/drawing/2014/chart" uri="{C3380CC4-5D6E-409C-BE32-E72D297353CC}">
              <c16:uniqueId val="{00000006-8475-4B46-B177-2506AF2AD00A}"/>
            </c:ext>
          </c:extLst>
        </c:ser>
        <c:ser>
          <c:idx val="7"/>
          <c:order val="7"/>
          <c:tx>
            <c:strRef>
              <c:f>Graphs!$AI$7</c:f>
              <c:strCache>
                <c:ptCount val="1"/>
                <c:pt idx="0">
                  <c:v>Income </c:v>
                </c:pt>
              </c:strCache>
            </c:strRef>
          </c:tx>
          <c:spPr>
            <a:solidFill>
              <a:srgbClr val="D4A27F"/>
            </a:solidFill>
            <a:ln w="25400">
              <a:noFill/>
            </a:ln>
            <a:effectLst/>
          </c:spPr>
          <c:invertIfNegative val="0"/>
          <c:cat>
            <c:strRef>
              <c:f>Graphs!$AA$8:$AA$20</c:f>
              <c:strCache>
                <c:ptCount val="13"/>
                <c:pt idx="0">
                  <c:v>Revenue
$16,286</c:v>
                </c:pt>
                <c:pt idx="1">
                  <c:v>Compute &amp; infra
($8,945)</c:v>
                </c:pt>
                <c:pt idx="2">
                  <c:v>Personnel
($3,152)</c:v>
                </c:pt>
                <c:pt idx="3">
                  <c:v>Bartz settlement
-</c:v>
                </c:pt>
                <c:pt idx="4">
                  <c:v>S&amp;M &amp; partnerships
($3,168)</c:v>
                </c:pt>
                <c:pt idx="5">
                  <c:v>Other op. &amp; admin
($1,714)</c:v>
                </c:pt>
                <c:pt idx="6">
                  <c:v>Operating income
($693)</c:v>
                </c:pt>
                <c:pt idx="7">
                  <c:v>Interest income
$1,111</c:v>
                </c:pt>
                <c:pt idx="8">
                  <c:v>FV change – notes &amp; SAFEs
($72,388)</c:v>
                </c:pt>
                <c:pt idx="9">
                  <c:v>Other income (exp.)
($8,757)</c:v>
                </c:pt>
                <c:pt idx="10">
                  <c:v>Pre-tax loss
($80,727)</c:v>
                </c:pt>
                <c:pt idx="11">
                  <c:v>Tax provision
($21)</c:v>
                </c:pt>
                <c:pt idx="12">
                  <c:v>Net loss
($80,748)</c:v>
                </c:pt>
              </c:strCache>
            </c:strRef>
          </c:cat>
          <c:val>
            <c:numRef>
              <c:f>Graphs!$AI$8:$AI$20</c:f>
              <c:numCache>
                <c:formatCode>"$"#,##0;\("$"#,##0\);"-"</c:formatCode>
                <c:ptCount val="13"/>
                <c:pt idx="0">
                  <c:v>0</c:v>
                </c:pt>
                <c:pt idx="1">
                  <c:v>0</c:v>
                </c:pt>
                <c:pt idx="2">
                  <c:v>0</c:v>
                </c:pt>
                <c:pt idx="3">
                  <c:v>0</c:v>
                </c:pt>
                <c:pt idx="4">
                  <c:v>0</c:v>
                </c:pt>
                <c:pt idx="5">
                  <c:v>0</c:v>
                </c:pt>
                <c:pt idx="6">
                  <c:v>0</c:v>
                </c:pt>
                <c:pt idx="7">
                  <c:v>-693</c:v>
                </c:pt>
                <c:pt idx="8">
                  <c:v>0</c:v>
                </c:pt>
                <c:pt idx="9">
                  <c:v>0</c:v>
                </c:pt>
                <c:pt idx="10">
                  <c:v>0</c:v>
                </c:pt>
                <c:pt idx="11">
                  <c:v>0</c:v>
                </c:pt>
                <c:pt idx="12">
                  <c:v>0</c:v>
                </c:pt>
              </c:numCache>
            </c:numRef>
          </c:val>
          <c:extLst>
            <c:ext xmlns:c16="http://schemas.microsoft.com/office/drawing/2014/chart" uri="{C3380CC4-5D6E-409C-BE32-E72D297353CC}">
              <c16:uniqueId val="{00000007-8475-4B46-B177-2506AF2AD00A}"/>
            </c:ext>
          </c:extLst>
        </c:ser>
        <c:ser>
          <c:idx val="8"/>
          <c:order val="8"/>
          <c:tx>
            <c:strRef>
              <c:f>Graphs!$AJ$7</c:f>
              <c:strCache>
                <c:ptCount val="1"/>
                <c:pt idx="0">
                  <c:v>Subtotal</c:v>
                </c:pt>
              </c:strCache>
            </c:strRef>
          </c:tx>
          <c:spPr>
            <a:solidFill>
              <a:srgbClr val="141413"/>
            </a:solidFill>
            <a:ln w="25400">
              <a:noFill/>
            </a:ln>
            <a:effectLst/>
          </c:spPr>
          <c:invertIfNegative val="0"/>
          <c:cat>
            <c:strRef>
              <c:f>Graphs!$AA$8:$AA$20</c:f>
              <c:strCache>
                <c:ptCount val="13"/>
                <c:pt idx="0">
                  <c:v>Revenue
$16,286</c:v>
                </c:pt>
                <c:pt idx="1">
                  <c:v>Compute &amp; infra
($8,945)</c:v>
                </c:pt>
                <c:pt idx="2">
                  <c:v>Personnel
($3,152)</c:v>
                </c:pt>
                <c:pt idx="3">
                  <c:v>Bartz settlement
-</c:v>
                </c:pt>
                <c:pt idx="4">
                  <c:v>S&amp;M &amp; partnerships
($3,168)</c:v>
                </c:pt>
                <c:pt idx="5">
                  <c:v>Other op. &amp; admin
($1,714)</c:v>
                </c:pt>
                <c:pt idx="6">
                  <c:v>Operating income
($693)</c:v>
                </c:pt>
                <c:pt idx="7">
                  <c:v>Interest income
$1,111</c:v>
                </c:pt>
                <c:pt idx="8">
                  <c:v>FV change – notes &amp; SAFEs
($72,388)</c:v>
                </c:pt>
                <c:pt idx="9">
                  <c:v>Other income (exp.)
($8,757)</c:v>
                </c:pt>
                <c:pt idx="10">
                  <c:v>Pre-tax loss
($80,727)</c:v>
                </c:pt>
                <c:pt idx="11">
                  <c:v>Tax provision
($21)</c:v>
                </c:pt>
                <c:pt idx="12">
                  <c:v>Net loss
($80,748)</c:v>
                </c:pt>
              </c:strCache>
            </c:strRef>
          </c:cat>
          <c:val>
            <c:numRef>
              <c:f>Graphs!$AJ$8:$AJ$20</c:f>
              <c:numCache>
                <c:formatCode>"$"#,##0;\("$"#,##0\);"-"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8-8475-4B46-B177-2506AF2AD00A}"/>
            </c:ext>
          </c:extLst>
        </c:ser>
        <c:ser>
          <c:idx val="9"/>
          <c:order val="9"/>
          <c:tx>
            <c:strRef>
              <c:f>Graphs!$AK$7</c:f>
              <c:strCache>
                <c:ptCount val="1"/>
                <c:pt idx="0">
                  <c:v>Subtotal </c:v>
                </c:pt>
              </c:strCache>
            </c:strRef>
          </c:tx>
          <c:spPr>
            <a:solidFill>
              <a:srgbClr val="141413"/>
            </a:solidFill>
            <a:ln w="25400">
              <a:noFill/>
            </a:ln>
            <a:effectLst/>
          </c:spPr>
          <c:invertIfNegative val="0"/>
          <c:cat>
            <c:strRef>
              <c:f>Graphs!$AA$8:$AA$20</c:f>
              <c:strCache>
                <c:ptCount val="13"/>
                <c:pt idx="0">
                  <c:v>Revenue
$16,286</c:v>
                </c:pt>
                <c:pt idx="1">
                  <c:v>Compute &amp; infra
($8,945)</c:v>
                </c:pt>
                <c:pt idx="2">
                  <c:v>Personnel
($3,152)</c:v>
                </c:pt>
                <c:pt idx="3">
                  <c:v>Bartz settlement
-</c:v>
                </c:pt>
                <c:pt idx="4">
                  <c:v>S&amp;M &amp; partnerships
($3,168)</c:v>
                </c:pt>
                <c:pt idx="5">
                  <c:v>Other op. &amp; admin
($1,714)</c:v>
                </c:pt>
                <c:pt idx="6">
                  <c:v>Operating income
($693)</c:v>
                </c:pt>
                <c:pt idx="7">
                  <c:v>Interest income
$1,111</c:v>
                </c:pt>
                <c:pt idx="8">
                  <c:v>FV change – notes &amp; SAFEs
($72,388)</c:v>
                </c:pt>
                <c:pt idx="9">
                  <c:v>Other income (exp.)
($8,757)</c:v>
                </c:pt>
                <c:pt idx="10">
                  <c:v>Pre-tax loss
($80,727)</c:v>
                </c:pt>
                <c:pt idx="11">
                  <c:v>Tax provision
($21)</c:v>
                </c:pt>
                <c:pt idx="12">
                  <c:v>Net loss
($80,748)</c:v>
                </c:pt>
              </c:strCache>
            </c:strRef>
          </c:cat>
          <c:val>
            <c:numRef>
              <c:f>Graphs!$AK$8:$AK$20</c:f>
              <c:numCache>
                <c:formatCode>"$"#,##0;\("$"#,##0\);"-"</c:formatCode>
                <c:ptCount val="13"/>
                <c:pt idx="0">
                  <c:v>0</c:v>
                </c:pt>
                <c:pt idx="1">
                  <c:v>0</c:v>
                </c:pt>
                <c:pt idx="2">
                  <c:v>0</c:v>
                </c:pt>
                <c:pt idx="3">
                  <c:v>0</c:v>
                </c:pt>
                <c:pt idx="4">
                  <c:v>0</c:v>
                </c:pt>
                <c:pt idx="5">
                  <c:v>0</c:v>
                </c:pt>
                <c:pt idx="6">
                  <c:v>-693</c:v>
                </c:pt>
                <c:pt idx="7">
                  <c:v>0</c:v>
                </c:pt>
                <c:pt idx="8">
                  <c:v>0</c:v>
                </c:pt>
                <c:pt idx="9">
                  <c:v>0</c:v>
                </c:pt>
                <c:pt idx="10">
                  <c:v>-80727</c:v>
                </c:pt>
                <c:pt idx="11">
                  <c:v>0</c:v>
                </c:pt>
                <c:pt idx="12">
                  <c:v>-80748</c:v>
                </c:pt>
              </c:numCache>
            </c:numRef>
          </c:val>
          <c:extLst>
            <c:ext xmlns:c16="http://schemas.microsoft.com/office/drawing/2014/chart" uri="{C3380CC4-5D6E-409C-BE32-E72D297353CC}">
              <c16:uniqueId val="{00000009-8475-4B46-B177-2506AF2AD00A}"/>
            </c:ext>
          </c:extLst>
        </c:ser>
        <c:dLbls>
          <c:showLegendKey val="0"/>
          <c:showVal val="0"/>
          <c:showCatName val="0"/>
          <c:showSerName val="0"/>
          <c:showPercent val="0"/>
          <c:showBubbleSize val="0"/>
        </c:dLbls>
        <c:gapWidth val="40"/>
        <c:overlap val="100"/>
        <c:axId val="221276959"/>
        <c:axId val="229493647"/>
      </c:barChart>
      <c:catAx>
        <c:axId val="22127695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141413"/>
                </a:solidFill>
                <a:latin typeface="+mn-lt"/>
                <a:ea typeface="+mn-ea"/>
                <a:cs typeface="+mn-cs"/>
              </a:defRPr>
            </a:pPr>
            <a:endParaRPr lang="en-US"/>
          </a:p>
        </c:txPr>
        <c:crossAx val="229493647"/>
        <c:crosses val="autoZero"/>
        <c:auto val="1"/>
        <c:lblAlgn val="ctr"/>
        <c:lblOffset val="100"/>
        <c:noMultiLvlLbl val="0"/>
      </c:catAx>
      <c:valAx>
        <c:axId val="229493647"/>
        <c:scaling>
          <c:orientation val="minMax"/>
        </c:scaling>
        <c:delete val="0"/>
        <c:axPos val="l"/>
        <c:majorGridlines>
          <c:spPr>
            <a:ln w="9525" cap="flat" cmpd="sng" algn="ctr">
              <a:solidFill>
                <a:srgbClr val="E8E6DC"/>
              </a:solidFill>
              <a:prstDash val="solid"/>
              <a:round/>
              <a:headEnd type="none" w="med" len="med"/>
              <a:tailEnd type="none" w="med" len="med"/>
            </a:ln>
            <a:effectLst/>
          </c:spPr>
        </c:majorGridlines>
        <c:numFmt formatCode="&quot;$&quot;#,##0;\(&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76959"/>
        <c:crosses val="autoZero"/>
        <c:crossBetween val="between"/>
      </c:valAx>
      <c:spPr>
        <a:noFill/>
        <a:ln>
          <a:noFill/>
        </a:ln>
        <a:effectLst/>
      </c:spPr>
    </c:plotArea>
    <c:legend>
      <c:legendPos val="b"/>
      <c:legendEntry>
        <c:idx val="0"/>
        <c:delete val="1"/>
      </c:legendEntry>
      <c:legendEntry>
        <c:idx val="1"/>
        <c:delete val="1"/>
      </c:legendEntry>
      <c:legendEntry>
        <c:idx val="5"/>
        <c:delete val="1"/>
      </c:legendEntry>
      <c:legendEntry>
        <c:idx val="7"/>
        <c:delete val="1"/>
      </c:legendEntry>
      <c:legendEntry>
        <c:idx val="9"/>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63500</xdr:colOff>
      <xdr:row>30</xdr:row>
      <xdr:rowOff>157480</xdr:rowOff>
    </xdr:from>
    <xdr:to>
      <xdr:col>9</xdr:col>
      <xdr:colOff>38100</xdr:colOff>
      <xdr:row>48</xdr:row>
      <xdr:rowOff>40640</xdr:rowOff>
    </xdr:to>
    <xdr:graphicFrame macro="">
      <xdr:nvGraphicFramePr>
        <xdr:cNvPr id="2" name="Chart 2">
          <a:extLst>
            <a:ext uri="{FF2B5EF4-FFF2-40B4-BE49-F238E27FC236}">
              <a16:creationId xmlns:a16="http://schemas.microsoft.com/office/drawing/2014/main" id="{B7E24C57-7957-B39D-7330-1DB33723D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63500</xdr:colOff>
      <xdr:row>49</xdr:row>
      <xdr:rowOff>48260</xdr:rowOff>
    </xdr:from>
    <xdr:to>
      <xdr:col>9</xdr:col>
      <xdr:colOff>38100</xdr:colOff>
      <xdr:row>66</xdr:row>
      <xdr:rowOff>114300</xdr:rowOff>
    </xdr:to>
    <xdr:graphicFrame macro="">
      <xdr:nvGraphicFramePr>
        <xdr:cNvPr id="4" name="Chart 4">
          <a:extLst>
            <a:ext uri="{FF2B5EF4-FFF2-40B4-BE49-F238E27FC236}">
              <a16:creationId xmlns:a16="http://schemas.microsoft.com/office/drawing/2014/main" id="{EDD87C89-1B5D-C1EA-F802-BD13553DF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228600</xdr:colOff>
      <xdr:row>49</xdr:row>
      <xdr:rowOff>48260</xdr:rowOff>
    </xdr:from>
    <xdr:to>
      <xdr:col>18</xdr:col>
      <xdr:colOff>203200</xdr:colOff>
      <xdr:row>66</xdr:row>
      <xdr:rowOff>114300</xdr:rowOff>
    </xdr:to>
    <xdr:graphicFrame macro="">
      <xdr:nvGraphicFramePr>
        <xdr:cNvPr id="5" name="Chart 5">
          <a:extLst>
            <a:ext uri="{FF2B5EF4-FFF2-40B4-BE49-F238E27FC236}">
              <a16:creationId xmlns:a16="http://schemas.microsoft.com/office/drawing/2014/main" id="{D545E39E-0757-06E1-7AAD-985EE708A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63500</xdr:colOff>
      <xdr:row>67</xdr:row>
      <xdr:rowOff>121920</xdr:rowOff>
    </xdr:from>
    <xdr:to>
      <xdr:col>9</xdr:col>
      <xdr:colOff>38100</xdr:colOff>
      <xdr:row>85</xdr:row>
      <xdr:rowOff>5080</xdr:rowOff>
    </xdr:to>
    <xdr:graphicFrame macro="">
      <xdr:nvGraphicFramePr>
        <xdr:cNvPr id="6" name="Chart 6">
          <a:extLst>
            <a:ext uri="{FF2B5EF4-FFF2-40B4-BE49-F238E27FC236}">
              <a16:creationId xmlns:a16="http://schemas.microsoft.com/office/drawing/2014/main" id="{27905F53-2F6E-B2A6-66E7-FA719A1CA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228600</xdr:colOff>
      <xdr:row>67</xdr:row>
      <xdr:rowOff>121920</xdr:rowOff>
    </xdr:from>
    <xdr:to>
      <xdr:col>18</xdr:col>
      <xdr:colOff>203200</xdr:colOff>
      <xdr:row>85</xdr:row>
      <xdr:rowOff>5080</xdr:rowOff>
    </xdr:to>
    <xdr:graphicFrame macro="">
      <xdr:nvGraphicFramePr>
        <xdr:cNvPr id="7" name="Chart 7">
          <a:extLst>
            <a:ext uri="{FF2B5EF4-FFF2-40B4-BE49-F238E27FC236}">
              <a16:creationId xmlns:a16="http://schemas.microsoft.com/office/drawing/2014/main" id="{65013FB9-319E-AA50-8DA3-E36C518CF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228600</xdr:colOff>
      <xdr:row>30</xdr:row>
      <xdr:rowOff>157480</xdr:rowOff>
    </xdr:from>
    <xdr:to>
      <xdr:col>18</xdr:col>
      <xdr:colOff>203200</xdr:colOff>
      <xdr:row>48</xdr:row>
      <xdr:rowOff>40640</xdr:rowOff>
    </xdr:to>
    <xdr:graphicFrame macro="">
      <xdr:nvGraphicFramePr>
        <xdr:cNvPr id="8" name="Chart 3">
          <a:extLst>
            <a:ext uri="{FF2B5EF4-FFF2-40B4-BE49-F238E27FC236}">
              <a16:creationId xmlns:a16="http://schemas.microsoft.com/office/drawing/2014/main" id="{C33EB4C9-24CC-C05C-46CD-3476C9F38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63500</xdr:colOff>
      <xdr:row>2</xdr:row>
      <xdr:rowOff>7620</xdr:rowOff>
    </xdr:from>
    <xdr:to>
      <xdr:col>18</xdr:col>
      <xdr:colOff>203200</xdr:colOff>
      <xdr:row>29</xdr:row>
      <xdr:rowOff>149860</xdr:rowOff>
    </xdr:to>
    <xdr:graphicFrame macro="">
      <xdr:nvGraphicFramePr>
        <xdr:cNvPr id="9" name="Chart 1">
          <a:extLst>
            <a:ext uri="{FF2B5EF4-FFF2-40B4-BE49-F238E27FC236}">
              <a16:creationId xmlns:a16="http://schemas.microsoft.com/office/drawing/2014/main" id="{F926EFB4-EF33-5BC5-B8FF-0993C6049D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1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2D4FAB6-E871-4DB2-B8ED-993AC5022AD6}">
  <we:reference id="wa200009404" version="1.0.0.8" store="en-US" storeType="OMEX"/>
  <we:alternateReferences>
    <we:reference id="WA200009404" version="1.0.0.8" store="" storeType="OMEX"/>
  </we:alternateReferences>
  <we:properties>
    <we:property name="claude.fileId" value="&quot;83247192-6c45-4d26-a3b2-98ef7d0041f2&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0938A-16E3-4235-9613-77942AEF8CDA}">
  <sheetPr>
    <tabColor rgb="FF141413"/>
  </sheetPr>
  <dimension ref="A1:Z100"/>
  <sheetViews>
    <sheetView showGridLines="0" tabSelected="1" workbookViewId="0">
      <pane ySplit="2" topLeftCell="A3" activePane="bottomLeft" state="frozen"/>
      <selection pane="bottomLeft" activeCell="L22" sqref="L22"/>
    </sheetView>
  </sheetViews>
  <sheetFormatPr defaultRowHeight="14.4" x14ac:dyDescent="0.3"/>
  <cols>
    <col min="1" max="1" width="61.109375" style="1" customWidth="1"/>
    <col min="2" max="5" width="19.44140625" style="1" customWidth="1"/>
    <col min="6" max="6" width="3.6640625" style="1" customWidth="1"/>
    <col min="7" max="7" width="70.33203125" style="1" customWidth="1"/>
    <col min="8" max="26" width="8.88671875" style="1"/>
  </cols>
  <sheetData>
    <row r="1" spans="1:7" ht="30" customHeight="1" x14ac:dyDescent="0.4">
      <c r="A1" s="2" t="s">
        <v>931</v>
      </c>
    </row>
    <row r="2" spans="1:7" x14ac:dyDescent="0.3">
      <c r="A2" s="24" t="str">
        <f ca="1">"Prepared: "&amp;TEXT(TODAY(),"d-mmm-yyyy")&amp;"  |  Source: Form S-1 filed 26-Oct-2026  |  15-year DCF, Bear / Base / Bull, probability-weighted  |  $ in Millions except per share"</f>
        <v>Prepared: 28-Oct-2026  |  Source: Form S-1 filed 26-Oct-2026  |  15-year DCF, Bear / Base / Bull, probability-weighted  |  $ in Millions except per share</v>
      </c>
    </row>
    <row r="4" spans="1:7" x14ac:dyDescent="0.3">
      <c r="A4" s="5" t="s">
        <v>626</v>
      </c>
      <c r="B4" s="5"/>
      <c r="C4" s="5"/>
      <c r="D4" s="5"/>
      <c r="E4" s="5"/>
      <c r="F4" s="5"/>
      <c r="G4" s="5"/>
    </row>
    <row r="5" spans="1:7" x14ac:dyDescent="0.3">
      <c r="A5" s="1" t="str">
        <f>"Anthropic is filing to IPO after revenue went from $4.6B in FY2025 to $"&amp;TEXT(Historicals!F7/1000,"0.0")&amp;"B in 1H26 alone. The Q2'26 run-rate is $"&amp;TEXT(Historicals!G33*4/1000,"0")&amp;"B, and Q2 was the first quarter with a GAAP operating profit ($"&amp;TEXT(Historicals!G41,"#,##0")&amp;"M)."</f>
        <v>Anthropic is filing to IPO after revenue went from $4.6B in FY2025 to $16.3B in 1H26 alone. The Q2'26 run-rate is $46B, and Q2 was the first quarter with a GAAP operating profit ($974M).</v>
      </c>
    </row>
    <row r="6" spans="1:7" x14ac:dyDescent="0.3">
      <c r="A6" s="1" t="str">
        <f>"  (1) Demand: over "&amp;TEXT(Historicals!H168,"#,##0")&amp;" customers spend ≥$100K a year (up from ~950 a year earlier) and Net Revenue Retention is ~"&amp;TEXT(Historicals!H171,"0%")&amp;". Consumption (API / pay-for-intelligence) is "&amp;TEXT(Historicals!F72/Historicals!F7,"0%")&amp;" of 1H26 revenue."</f>
        <v xml:space="preserve">  (1) Demand: over 11,900 customers spend ≥$100K a year (up from ~950 a year earlier) and Net Revenue Retention is ~900%. Consumption (API / pay-for-intelligence) is 80% of 1H26 revenue.</v>
      </c>
    </row>
    <row r="7" spans="1:7" x14ac:dyDescent="0.3">
      <c r="A7" s="1" t="str">
        <f>"  (2) Compute: compute &amp; infrastructure costs fell from 251% of revenue (Q1'25) to "&amp;TEXT(Historicals!G35/Historicals!G33,"0%")&amp;" (Q2'26). We model inference and training compute separately, the GW of capacity in service, and the move to owned capacity (Anthropic Direct)."</f>
        <v xml:space="preserve">  (2) Compute: compute &amp; infrastructure costs fell from 251% of revenue (Q1'25) to 48% (Q2'26). We model inference and training compute separately, the GW of capacity in service, and the move to owned capacity (Anthropic Direct).</v>
      </c>
    </row>
    <row r="8" spans="1:7" x14ac:dyDescent="0.3">
      <c r="A8" s="1" t="str">
        <f>"  (3) Cash: about $"&amp;TEXT((WACC!B56+WACC!B57)/1000,"#,##0.0")&amp;"B of cash + short-term investments at "&amp;Actuals!B7&amp;" (pre-IPO); "&amp;TEXT(WACC!B40,"0%")&amp;" of the convertible notes are assumed to convert at the IPO. Compute commitments are large, and many are prepaid 12-18 months ahead."</f>
        <v xml:space="preserve">  (3) Cash: about $131.7B of cash + short-term investments at Jun 2026A (pre-IPO); 100% of the convertible notes are assumed to convert at the IPO. Compute commitments are large, and many are prepaid 12-18 months ahead.</v>
      </c>
    </row>
    <row r="9" spans="1:7" x14ac:dyDescent="0.3">
      <c r="A9" s="1" t="str">
        <f>"  View: the probability-weighted value of $"&amp;TEXT(Dashboard!D12,"#,##0")&amp;"/share compares with an entry price of $"&amp;TEXT(Dashboard!B5,"#,##0")&amp;". Base case "&amp;TEXT(Dashboard!D10,"$#,##0")&amp;"; Base IRR to FY2031E "&amp;TEXT(Dashboard!G10,"0.0%")&amp;" vs a "&amp;TEXT(Dashboard!B16,"0%")&amp;" hurdle → "&amp;Dashboard!B21&amp;"."</f>
        <v xml:space="preserve">  View: the probability-weighted value of $139/share compares with an entry price of $59. Base case $112; Base IRR to FY2031E 23.3% vs a 13% hurdle → BUY – start / add to position.</v>
      </c>
    </row>
    <row r="10" spans="1:7" ht="3" customHeight="1" x14ac:dyDescent="0.3"/>
    <row r="11" spans="1:7" x14ac:dyDescent="0.3">
      <c r="A11" s="5" t="s">
        <v>627</v>
      </c>
      <c r="B11" s="5"/>
      <c r="C11" s="5"/>
      <c r="D11" s="5"/>
      <c r="E11" s="5"/>
      <c r="F11" s="5"/>
      <c r="G11" s="5"/>
    </row>
    <row r="12" spans="1:7" x14ac:dyDescent="0.3">
      <c r="A12" s="6" t="s">
        <v>628</v>
      </c>
      <c r="B12" s="7" t="s">
        <v>287</v>
      </c>
      <c r="C12" s="7" t="s">
        <v>288</v>
      </c>
      <c r="D12" s="7" t="s">
        <v>289</v>
      </c>
      <c r="E12" s="7" t="s">
        <v>629</v>
      </c>
      <c r="F12" s="6"/>
      <c r="G12" s="6" t="s">
        <v>630</v>
      </c>
    </row>
    <row r="13" spans="1:7" x14ac:dyDescent="0.3">
      <c r="A13" s="27" t="s">
        <v>631</v>
      </c>
      <c r="B13" s="138">
        <f>Dashboard!D9</f>
        <v>30.494613767536368</v>
      </c>
      <c r="C13" s="138">
        <f>Dashboard!D10</f>
        <v>111.87893101350788</v>
      </c>
      <c r="D13" s="138">
        <f>Dashboard!D11</f>
        <v>301.27483534187513</v>
      </c>
      <c r="E13" s="138">
        <f>Dashboard!D12</f>
        <v>138.8818277841068</v>
      </c>
      <c r="G13" s="24" t="s">
        <v>632</v>
      </c>
    </row>
    <row r="14" spans="1:7" x14ac:dyDescent="0.3">
      <c r="A14" s="1" t="s">
        <v>633</v>
      </c>
      <c r="B14" s="103">
        <f>Dashboard!B9</f>
        <v>29.19258732777379</v>
      </c>
      <c r="C14" s="103">
        <f>Dashboard!B10</f>
        <v>102.40073870092252</v>
      </c>
      <c r="D14" s="103">
        <f>Dashboard!B11</f>
        <v>263.77590294618454</v>
      </c>
      <c r="E14" s="103">
        <f>Dashboard!B12</f>
        <v>124.44249191895085</v>
      </c>
      <c r="G14" s="24" t="s">
        <v>634</v>
      </c>
    </row>
    <row r="15" spans="1:7" x14ac:dyDescent="0.3">
      <c r="A15" s="1" t="s">
        <v>635</v>
      </c>
      <c r="B15" s="103">
        <f>Dashboard!C9</f>
        <v>31.796640207298942</v>
      </c>
      <c r="C15" s="103">
        <f>Dashboard!C10</f>
        <v>121.35712332609324</v>
      </c>
      <c r="D15" s="103">
        <f>Dashboard!C11</f>
        <v>338.77376773756578</v>
      </c>
      <c r="E15" s="103">
        <f>Dashboard!C12</f>
        <v>153.32116364926281</v>
      </c>
      <c r="G15" s="24" t="s">
        <v>636</v>
      </c>
    </row>
    <row r="16" spans="1:7" x14ac:dyDescent="0.3">
      <c r="A16" s="1" t="s">
        <v>637</v>
      </c>
      <c r="B16" s="41">
        <f>Dashboard!E9</f>
        <v>-0.4822646219433554</v>
      </c>
      <c r="C16" s="41">
        <f>Dashboard!E10</f>
        <v>0.8994725129627823</v>
      </c>
      <c r="D16" s="41">
        <f>Dashboard!E11</f>
        <v>4.1150226713391369</v>
      </c>
      <c r="E16" s="41">
        <f>Dashboard!E12</f>
        <v>1.3579257688303361</v>
      </c>
      <c r="G16" s="24"/>
    </row>
    <row r="17" spans="1:7" x14ac:dyDescent="0.3">
      <c r="A17" s="1" t="s">
        <v>484</v>
      </c>
      <c r="B17" s="41">
        <f>Dashboard!G9</f>
        <v>-4.6792280145903975E-2</v>
      </c>
      <c r="C17" s="41">
        <f>Dashboard!G10</f>
        <v>0.233083185383683</v>
      </c>
      <c r="D17" s="41">
        <f>Dashboard!G11</f>
        <v>0.48464665081129676</v>
      </c>
      <c r="E17" s="41">
        <f>Dashboard!G12</f>
        <v>0.28133474552537141</v>
      </c>
      <c r="G17" s="24" t="s">
        <v>638</v>
      </c>
    </row>
    <row r="18" spans="1:7" x14ac:dyDescent="0.3">
      <c r="A18" s="1" t="s">
        <v>639</v>
      </c>
      <c r="B18" s="77">
        <f>'DCF Bear'!D160</f>
        <v>307080.54837615514</v>
      </c>
      <c r="C18" s="77">
        <f>'DCF Base'!D160</f>
        <v>1530280.1737667825</v>
      </c>
      <c r="D18" s="77">
        <f>'DCF Bull'!D160</f>
        <v>4376885.11025343</v>
      </c>
      <c r="E18" s="77">
        <f>B18*Dashboard!F9+C18*Dashboard!F10+D18*Dashboard!F11</f>
        <v>1936131.5015407875</v>
      </c>
      <c r="G18" s="24"/>
    </row>
    <row r="19" spans="1:7" x14ac:dyDescent="0.3">
      <c r="A19" s="1" t="s">
        <v>640</v>
      </c>
      <c r="B19" s="103">
        <f>Dashboard!B5</f>
        <v>58.9</v>
      </c>
      <c r="G19" s="24"/>
    </row>
    <row r="20" spans="1:7" x14ac:dyDescent="0.3">
      <c r="A20" s="27" t="s">
        <v>599</v>
      </c>
      <c r="B20" s="137" t="str">
        <f>Dashboard!B21</f>
        <v>BUY – start / add to position</v>
      </c>
      <c r="C20" s="26"/>
      <c r="D20" s="26"/>
      <c r="E20" s="26"/>
      <c r="F20" s="26"/>
      <c r="G20" s="134"/>
    </row>
    <row r="21" spans="1:7" ht="3" customHeight="1" x14ac:dyDescent="0.3">
      <c r="G21" s="24"/>
    </row>
    <row r="22" spans="1:7" x14ac:dyDescent="0.3">
      <c r="A22" s="5" t="s">
        <v>641</v>
      </c>
      <c r="B22" s="5"/>
      <c r="C22" s="5"/>
      <c r="D22" s="5"/>
      <c r="E22" s="5"/>
      <c r="F22" s="5"/>
      <c r="G22" s="139"/>
    </row>
    <row r="23" spans="1:7" x14ac:dyDescent="0.3">
      <c r="A23" s="6" t="s">
        <v>253</v>
      </c>
      <c r="B23" s="7" t="s">
        <v>254</v>
      </c>
      <c r="C23" s="7"/>
      <c r="D23" s="7"/>
      <c r="E23" s="7"/>
      <c r="F23" s="6"/>
      <c r="G23" s="140" t="s">
        <v>642</v>
      </c>
    </row>
    <row r="24" spans="1:7" x14ac:dyDescent="0.3">
      <c r="A24" s="1" t="s">
        <v>643</v>
      </c>
      <c r="B24" s="77">
        <f>'DCF Base'!E65</f>
        <v>54504.162499999999</v>
      </c>
      <c r="G24" s="24" t="s">
        <v>644</v>
      </c>
    </row>
    <row r="25" spans="1:7" x14ac:dyDescent="0.3">
      <c r="A25" s="1" t="s">
        <v>645</v>
      </c>
      <c r="B25" s="41">
        <f>'DCF Base'!F66</f>
        <v>1.08</v>
      </c>
      <c r="G25" s="24" t="s">
        <v>646</v>
      </c>
    </row>
    <row r="26" spans="1:7" x14ac:dyDescent="0.3">
      <c r="A26" s="1" t="s">
        <v>647</v>
      </c>
      <c r="B26" s="77">
        <f>'DCF Base'!I65</f>
        <v>326334.29825280001</v>
      </c>
      <c r="G26" s="24" t="s">
        <v>648</v>
      </c>
    </row>
    <row r="27" spans="1:7" x14ac:dyDescent="0.3">
      <c r="A27" s="1" t="s">
        <v>649</v>
      </c>
      <c r="B27" s="77">
        <f>'DCF Base'!S65</f>
        <v>902029.72395356465</v>
      </c>
      <c r="G27" s="24"/>
    </row>
    <row r="28" spans="1:7" x14ac:dyDescent="0.3">
      <c r="A28" s="1" t="s">
        <v>650</v>
      </c>
      <c r="B28" s="41">
        <f>'DCF Base'!S79</f>
        <v>0.31</v>
      </c>
      <c r="G28" s="24" t="s">
        <v>651</v>
      </c>
    </row>
    <row r="29" spans="1:7" x14ac:dyDescent="0.3">
      <c r="A29" s="1" t="s">
        <v>652</v>
      </c>
      <c r="B29" s="65">
        <f>'DCF Base'!S80</f>
        <v>30.919780004379291</v>
      </c>
      <c r="G29" s="24" t="s">
        <v>653</v>
      </c>
    </row>
    <row r="30" spans="1:7" x14ac:dyDescent="0.3">
      <c r="A30" s="1" t="s">
        <v>654</v>
      </c>
      <c r="B30" s="41">
        <f>'DCF Base'!S120</f>
        <v>0.45170841620550162</v>
      </c>
      <c r="G30" s="24" t="s">
        <v>655</v>
      </c>
    </row>
    <row r="31" spans="1:7" x14ac:dyDescent="0.3">
      <c r="A31" s="1" t="s">
        <v>656</v>
      </c>
      <c r="B31" s="84">
        <f>WACC!B23</f>
        <v>0.13367493162419763</v>
      </c>
      <c r="G31" s="155" t="str">
        <f>"CAPM; βu "&amp;TEXT(WACC!B15,"0.00")&amp;" (peer median), Rf "&amp;TEXT(WACC!B7,"0.0%")&amp;", ERP "&amp;TEXT(WACC!B8,"0.0%")&amp;", +"&amp;TEXT(WACC!B10,"0.0%")&amp;" specific"</f>
        <v>CAPM; βu 1.38 (peer median), Rf 5.0%, ERP 5.0%, +1.5% specific</v>
      </c>
    </row>
    <row r="32" spans="1:7" x14ac:dyDescent="0.3">
      <c r="A32" s="1" t="s">
        <v>499</v>
      </c>
      <c r="B32" s="84">
        <f>WACC!B70</f>
        <v>0.1001529411764706</v>
      </c>
      <c r="G32" s="24" t="s">
        <v>657</v>
      </c>
    </row>
    <row r="33" spans="1:7" x14ac:dyDescent="0.3">
      <c r="A33" s="1" t="s">
        <v>658</v>
      </c>
      <c r="B33" s="113" t="str">
        <f>TEXT(WACC!C28,"0.0%")&amp;"  /  "&amp;TEXT(WACC!D28,"0.0x")</f>
        <v>3.5%  /  14.0x</v>
      </c>
      <c r="G33" s="24" t="s">
        <v>646</v>
      </c>
    </row>
    <row r="34" spans="1:7" x14ac:dyDescent="0.3">
      <c r="A34" s="1" t="s">
        <v>659</v>
      </c>
      <c r="B34" s="65">
        <f>WACC!B52</f>
        <v>15663.257426548837</v>
      </c>
      <c r="G34" s="24" t="s">
        <v>885</v>
      </c>
    </row>
    <row r="35" spans="1:7" ht="3" customHeight="1" x14ac:dyDescent="0.3">
      <c r="G35" s="24"/>
    </row>
    <row r="36" spans="1:7" x14ac:dyDescent="0.3">
      <c r="A36" s="5" t="s">
        <v>660</v>
      </c>
      <c r="B36" s="5"/>
      <c r="C36" s="5"/>
      <c r="D36" s="5"/>
      <c r="E36" s="5"/>
      <c r="F36" s="5"/>
      <c r="G36" s="139"/>
    </row>
    <row r="37" spans="1:7" x14ac:dyDescent="0.3">
      <c r="A37" s="6" t="s">
        <v>177</v>
      </c>
      <c r="B37" s="7" t="s">
        <v>254</v>
      </c>
      <c r="C37" s="7"/>
      <c r="D37" s="7"/>
      <c r="E37" s="7"/>
      <c r="F37" s="6"/>
      <c r="G37" s="140" t="s">
        <v>661</v>
      </c>
    </row>
    <row r="38" spans="1:7" x14ac:dyDescent="0.3">
      <c r="A38" s="1" t="s">
        <v>618</v>
      </c>
      <c r="B38" s="77">
        <f>Historicals!D7</f>
        <v>4585</v>
      </c>
      <c r="G38" s="24" t="s">
        <v>6</v>
      </c>
    </row>
    <row r="39" spans="1:7" x14ac:dyDescent="0.3">
      <c r="A39" s="1" t="s">
        <v>618</v>
      </c>
      <c r="B39" s="77">
        <f>Historicals!F7</f>
        <v>16286</v>
      </c>
      <c r="G39" s="24" t="s">
        <v>662</v>
      </c>
    </row>
    <row r="40" spans="1:7" x14ac:dyDescent="0.3">
      <c r="A40" s="1" t="s">
        <v>663</v>
      </c>
      <c r="B40" s="77">
        <f>Historicals!G33*4</f>
        <v>46220</v>
      </c>
      <c r="G40" s="24" t="s">
        <v>664</v>
      </c>
    </row>
    <row r="41" spans="1:7" x14ac:dyDescent="0.3">
      <c r="A41" s="1" t="s">
        <v>665</v>
      </c>
      <c r="B41" s="77">
        <f>Historicals!F27</f>
        <v>1618</v>
      </c>
      <c r="G41" s="24" t="s">
        <v>8</v>
      </c>
    </row>
    <row r="42" spans="1:7" x14ac:dyDescent="0.3">
      <c r="A42" s="1" t="s">
        <v>666</v>
      </c>
      <c r="B42" s="77">
        <f>Historicals!F128</f>
        <v>3929</v>
      </c>
      <c r="G42" s="24" t="s">
        <v>8</v>
      </c>
    </row>
    <row r="43" spans="1:7" x14ac:dyDescent="0.3">
      <c r="A43" s="1" t="s">
        <v>667</v>
      </c>
      <c r="B43" s="77">
        <f>Historicals!D82+Historicals!D83</f>
        <v>131651</v>
      </c>
      <c r="C43" s="163"/>
      <c r="G43" s="180">
        <v>46203</v>
      </c>
    </row>
    <row r="44" spans="1:7" x14ac:dyDescent="0.3">
      <c r="A44" s="1" t="s">
        <v>668</v>
      </c>
      <c r="B44" s="136">
        <f>Historicals!H168</f>
        <v>11900</v>
      </c>
      <c r="C44" s="163"/>
      <c r="G44" s="180">
        <v>46295</v>
      </c>
    </row>
    <row r="45" spans="1:7" x14ac:dyDescent="0.3">
      <c r="A45" s="1" t="s">
        <v>669</v>
      </c>
      <c r="B45" s="63">
        <f>Historicals!H171</f>
        <v>9</v>
      </c>
      <c r="C45" s="163"/>
      <c r="G45" s="180">
        <v>46295</v>
      </c>
    </row>
    <row r="46" spans="1:7" ht="3" customHeight="1" x14ac:dyDescent="0.3">
      <c r="G46" s="24"/>
    </row>
    <row r="47" spans="1:7" x14ac:dyDescent="0.3">
      <c r="A47" s="5" t="s">
        <v>670</v>
      </c>
      <c r="B47" s="5"/>
      <c r="C47" s="5"/>
      <c r="D47" s="5"/>
      <c r="E47" s="5"/>
      <c r="F47" s="5"/>
      <c r="G47" s="139"/>
    </row>
    <row r="48" spans="1:7" x14ac:dyDescent="0.3">
      <c r="A48" s="6" t="s">
        <v>671</v>
      </c>
      <c r="B48" s="7"/>
      <c r="C48" s="7"/>
      <c r="D48" s="7"/>
      <c r="E48" s="7"/>
      <c r="F48" s="6"/>
      <c r="G48" s="140" t="s">
        <v>672</v>
      </c>
    </row>
    <row r="49" spans="1:7" x14ac:dyDescent="0.3">
      <c r="A49" s="1" t="s">
        <v>673</v>
      </c>
      <c r="G49" s="24" t="s">
        <v>674</v>
      </c>
    </row>
    <row r="50" spans="1:7" x14ac:dyDescent="0.3">
      <c r="A50" s="1" t="s">
        <v>675</v>
      </c>
      <c r="G50" s="24" t="s">
        <v>676</v>
      </c>
    </row>
    <row r="51" spans="1:7" x14ac:dyDescent="0.3">
      <c r="A51" s="1" t="s">
        <v>677</v>
      </c>
      <c r="G51" s="24" t="s">
        <v>678</v>
      </c>
    </row>
    <row r="52" spans="1:7" x14ac:dyDescent="0.3">
      <c r="A52" s="1" t="s">
        <v>679</v>
      </c>
      <c r="G52" s="24" t="s">
        <v>680</v>
      </c>
    </row>
    <row r="53" spans="1:7" x14ac:dyDescent="0.3">
      <c r="A53" s="1" t="s">
        <v>681</v>
      </c>
      <c r="G53" s="24" t="s">
        <v>680</v>
      </c>
    </row>
    <row r="54" spans="1:7" x14ac:dyDescent="0.3">
      <c r="A54" s="1" t="s">
        <v>682</v>
      </c>
      <c r="G54" s="24" t="s">
        <v>680</v>
      </c>
    </row>
    <row r="55" spans="1:7" ht="3" customHeight="1" x14ac:dyDescent="0.3">
      <c r="G55" s="24"/>
    </row>
    <row r="56" spans="1:7" x14ac:dyDescent="0.3">
      <c r="A56" s="5" t="s">
        <v>683</v>
      </c>
      <c r="B56" s="5"/>
      <c r="C56" s="5"/>
      <c r="D56" s="5"/>
      <c r="E56" s="5"/>
      <c r="F56" s="5"/>
      <c r="G56" s="139"/>
    </row>
    <row r="57" spans="1:7" x14ac:dyDescent="0.3">
      <c r="A57" s="6" t="s">
        <v>684</v>
      </c>
      <c r="B57" s="7"/>
      <c r="C57" s="7"/>
      <c r="D57" s="7"/>
      <c r="E57" s="7"/>
      <c r="F57" s="6"/>
      <c r="G57" s="140" t="s">
        <v>685</v>
      </c>
    </row>
    <row r="58" spans="1:7" x14ac:dyDescent="0.3">
      <c r="A58" s="1" t="s">
        <v>686</v>
      </c>
      <c r="G58" s="24" t="s">
        <v>697</v>
      </c>
    </row>
    <row r="59" spans="1:7" x14ac:dyDescent="0.3">
      <c r="A59" s="1" t="s">
        <v>833</v>
      </c>
      <c r="G59" s="24" t="s">
        <v>836</v>
      </c>
    </row>
    <row r="60" spans="1:7" x14ac:dyDescent="0.3">
      <c r="A60" s="1" t="s">
        <v>687</v>
      </c>
      <c r="G60" s="24" t="s">
        <v>688</v>
      </c>
    </row>
    <row r="61" spans="1:7" x14ac:dyDescent="0.3">
      <c r="A61" s="1" t="s">
        <v>646</v>
      </c>
      <c r="G61" s="24" t="s">
        <v>689</v>
      </c>
    </row>
    <row r="62" spans="1:7" x14ac:dyDescent="0.3">
      <c r="A62" s="1" t="s">
        <v>280</v>
      </c>
      <c r="G62" s="24" t="s">
        <v>690</v>
      </c>
    </row>
    <row r="63" spans="1:7" x14ac:dyDescent="0.3">
      <c r="A63" s="1" t="s">
        <v>691</v>
      </c>
      <c r="G63" s="24" t="s">
        <v>837</v>
      </c>
    </row>
    <row r="64" spans="1:7" x14ac:dyDescent="0.3">
      <c r="A64" s="1" t="s">
        <v>834</v>
      </c>
      <c r="G64" s="24" t="s">
        <v>838</v>
      </c>
    </row>
    <row r="65" spans="1:7" x14ac:dyDescent="0.3">
      <c r="A65" s="1" t="s">
        <v>835</v>
      </c>
      <c r="G65" s="24" t="s">
        <v>886</v>
      </c>
    </row>
    <row r="66" spans="1:7" x14ac:dyDescent="0.3">
      <c r="A66" s="1" t="s">
        <v>692</v>
      </c>
      <c r="G66" s="24" t="s">
        <v>693</v>
      </c>
    </row>
    <row r="67" spans="1:7" x14ac:dyDescent="0.3">
      <c r="A67" s="1" t="s">
        <v>694</v>
      </c>
      <c r="G67" s="24" t="s">
        <v>695</v>
      </c>
    </row>
    <row r="68" spans="1:7" x14ac:dyDescent="0.3">
      <c r="G68" s="24"/>
    </row>
    <row r="69" spans="1:7" x14ac:dyDescent="0.3">
      <c r="A69" s="24" t="s">
        <v>696</v>
      </c>
      <c r="G69" s="24"/>
    </row>
    <row r="100" spans="1:1" x14ac:dyDescent="0.3">
      <c r="A100" s="183" t="s">
        <v>932</v>
      </c>
    </row>
  </sheetData>
  <sheetProtection algorithmName="SHA-512" hashValue="O1UWHDC7koDfWCTlKBs6+jnL96+xmd7FuX04Vv8DmAyq75gWlWieU11iDzGwnC2OUiuDE9ygcWxbsn8VhWWEdg==" saltValue="1GYX1T58GHhf4gqs89wjkg==" spinCount="100000" sheet="1" objects="1" scenarios="1" sort="0" autoFilter="0"/>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32572-B5C7-49BD-B403-F910B105DB88}">
  <sheetPr>
    <tabColor rgb="FFD97757"/>
  </sheetPr>
  <dimension ref="A1:Z100"/>
  <sheetViews>
    <sheetView showGridLines="0" workbookViewId="0">
      <pane ySplit="2" topLeftCell="A3" activePane="bottomLeft" state="frozen"/>
      <selection pane="bottomLeft" activeCell="P23" sqref="P23"/>
    </sheetView>
  </sheetViews>
  <sheetFormatPr defaultRowHeight="14.4" x14ac:dyDescent="0.3"/>
  <cols>
    <col min="1" max="1" width="61.109375" style="1" customWidth="1"/>
    <col min="2" max="7" width="19.44140625" style="1" customWidth="1"/>
    <col min="8" max="8" width="48.109375" style="1" customWidth="1"/>
    <col min="9" max="26" width="8.88671875" style="1"/>
  </cols>
  <sheetData>
    <row r="1" spans="1:8" ht="30" customHeight="1" x14ac:dyDescent="0.4">
      <c r="A1" s="2" t="s">
        <v>871</v>
      </c>
    </row>
    <row r="2" spans="1:8" x14ac:dyDescent="0.3">
      <c r="A2" s="24" t="s">
        <v>586</v>
      </c>
    </row>
    <row r="4" spans="1:8" x14ac:dyDescent="0.3">
      <c r="A4" s="5" t="s">
        <v>587</v>
      </c>
      <c r="B4" s="5"/>
      <c r="C4" s="5"/>
      <c r="D4" s="5"/>
      <c r="E4" s="5"/>
      <c r="F4" s="5"/>
      <c r="G4" s="5"/>
      <c r="H4" s="5"/>
    </row>
    <row r="5" spans="1:8" x14ac:dyDescent="0.3">
      <c r="A5" s="1" t="s">
        <v>328</v>
      </c>
      <c r="B5" s="164">
        <f>ROUND(Historicals!B178/WACC!B37,2)</f>
        <v>58.9</v>
      </c>
      <c r="C5" s="24" t="s">
        <v>870</v>
      </c>
    </row>
    <row r="6" spans="1:8" ht="3" customHeight="1" x14ac:dyDescent="0.3"/>
    <row r="7" spans="1:8" x14ac:dyDescent="0.3">
      <c r="A7" s="5" t="s">
        <v>588</v>
      </c>
      <c r="B7" s="5"/>
      <c r="C7" s="5"/>
      <c r="D7" s="5"/>
      <c r="E7" s="5"/>
      <c r="F7" s="5"/>
      <c r="G7" s="5"/>
      <c r="H7" s="5"/>
    </row>
    <row r="8" spans="1:8" x14ac:dyDescent="0.3">
      <c r="A8" s="6" t="s">
        <v>283</v>
      </c>
      <c r="B8" s="7" t="s">
        <v>457</v>
      </c>
      <c r="C8" s="7" t="s">
        <v>458</v>
      </c>
      <c r="D8" s="7" t="s">
        <v>459</v>
      </c>
      <c r="E8" s="7" t="s">
        <v>589</v>
      </c>
      <c r="F8" s="7" t="s">
        <v>286</v>
      </c>
      <c r="G8" s="7" t="s">
        <v>724</v>
      </c>
      <c r="H8" s="7" t="s">
        <v>590</v>
      </c>
    </row>
    <row r="9" spans="1:8" x14ac:dyDescent="0.3">
      <c r="A9" s="1" t="s">
        <v>287</v>
      </c>
      <c r="B9" s="103">
        <f>'DCF Bear'!B165</f>
        <v>29.19258732777379</v>
      </c>
      <c r="C9" s="103">
        <f>'DCF Bear'!C165</f>
        <v>31.796640207298942</v>
      </c>
      <c r="D9" s="125">
        <f>'DCF Bear'!D165</f>
        <v>30.494613767536368</v>
      </c>
      <c r="E9" s="31">
        <f>D9/$B$5-1</f>
        <v>-0.4822646219433554</v>
      </c>
      <c r="F9" s="63">
        <f>WACC!E27</f>
        <v>0.25</v>
      </c>
      <c r="G9" s="41">
        <f>'DCF Bear'!B184</f>
        <v>-4.6792280145903975E-2</v>
      </c>
      <c r="H9" s="127">
        <f>'DCF Bear'!B185</f>
        <v>0.78014334454207357</v>
      </c>
    </row>
    <row r="10" spans="1:8" x14ac:dyDescent="0.3">
      <c r="A10" s="1" t="s">
        <v>288</v>
      </c>
      <c r="B10" s="103">
        <f>'DCF Base'!B165</f>
        <v>102.40073870092252</v>
      </c>
      <c r="C10" s="103">
        <f>'DCF Base'!C165</f>
        <v>121.35712332609324</v>
      </c>
      <c r="D10" s="125">
        <f>'DCF Base'!D165</f>
        <v>111.87893101350788</v>
      </c>
      <c r="E10" s="31">
        <f>D10/$B$5-1</f>
        <v>0.8994725129627823</v>
      </c>
      <c r="F10" s="63">
        <f>WACC!E28</f>
        <v>0.5</v>
      </c>
      <c r="G10" s="41">
        <f>'DCF Base'!B184</f>
        <v>0.233083185383683</v>
      </c>
      <c r="H10" s="127">
        <f>'DCF Base'!B185</f>
        <v>2.9608424189990106</v>
      </c>
    </row>
    <row r="11" spans="1:8" x14ac:dyDescent="0.3">
      <c r="A11" s="1" t="s">
        <v>289</v>
      </c>
      <c r="B11" s="103">
        <f>'DCF Bull'!B165</f>
        <v>263.77590294618454</v>
      </c>
      <c r="C11" s="103">
        <f>'DCF Bull'!C165</f>
        <v>338.77376773756578</v>
      </c>
      <c r="D11" s="125">
        <f>'DCF Bull'!D165</f>
        <v>301.27483534187513</v>
      </c>
      <c r="E11" s="31">
        <f>D11/$B$5-1</f>
        <v>4.1150226713391369</v>
      </c>
      <c r="F11" s="63">
        <f>WACC!E29</f>
        <v>0.25</v>
      </c>
      <c r="G11" s="41">
        <f>'DCF Bull'!B184</f>
        <v>0.48464665081129676</v>
      </c>
      <c r="H11" s="127">
        <f>'DCF Bull'!B185</f>
        <v>7.747270736818872</v>
      </c>
    </row>
    <row r="12" spans="1:8" x14ac:dyDescent="0.3">
      <c r="A12" s="128" t="s">
        <v>591</v>
      </c>
      <c r="B12" s="129">
        <f>SUMPRODUCT(B9:B11,$F$9:$F$11)</f>
        <v>124.44249191895085</v>
      </c>
      <c r="C12" s="129">
        <f>SUMPRODUCT(C9:C11,$F$9:$F$11)</f>
        <v>153.32116364926281</v>
      </c>
      <c r="D12" s="129">
        <f>SUMPRODUCT(D9:D11,$F$9:$F$11)</f>
        <v>138.8818277841068</v>
      </c>
      <c r="E12" s="130">
        <f>D12/$B$5-1</f>
        <v>1.3579257688303361</v>
      </c>
      <c r="F12" s="131">
        <f>SUM(F9:F11)</f>
        <v>1</v>
      </c>
      <c r="G12" s="130">
        <f>((F9*'DCF Bear'!B182+F10*'DCF Base'!B182+F11*'DCF Bull'!B182)/$B$5)^(1/'DCF Base'!B183)-1</f>
        <v>0.28133474552537141</v>
      </c>
      <c r="H12" s="132">
        <f>SUMPRODUCT(H9:H11,$F$9:$F$11)</f>
        <v>3.6122747298397417</v>
      </c>
    </row>
    <row r="13" spans="1:8" ht="3" customHeight="1" x14ac:dyDescent="0.3"/>
    <row r="14" spans="1:8" x14ac:dyDescent="0.3">
      <c r="A14" s="5" t="s">
        <v>698</v>
      </c>
      <c r="B14" s="5"/>
      <c r="C14" s="5"/>
      <c r="D14" s="5"/>
      <c r="E14" s="5"/>
      <c r="F14" s="5"/>
      <c r="G14" s="5"/>
      <c r="H14" s="5"/>
    </row>
    <row r="15" spans="1:8" x14ac:dyDescent="0.3">
      <c r="A15" s="6" t="s">
        <v>253</v>
      </c>
      <c r="B15" s="7" t="s">
        <v>254</v>
      </c>
      <c r="C15" s="7"/>
      <c r="D15" s="7"/>
      <c r="E15" s="7"/>
      <c r="F15" s="7"/>
      <c r="G15" s="7"/>
      <c r="H15" s="7" t="s">
        <v>255</v>
      </c>
    </row>
    <row r="16" spans="1:8" x14ac:dyDescent="0.3">
      <c r="A16" s="1" t="s">
        <v>592</v>
      </c>
      <c r="B16" s="165">
        <f>WACC!B18</f>
        <v>0.13496243025668159</v>
      </c>
      <c r="H16" s="24" t="s">
        <v>723</v>
      </c>
    </row>
    <row r="17" spans="1:8" x14ac:dyDescent="0.3">
      <c r="A17" s="1" t="s">
        <v>593</v>
      </c>
      <c r="B17" s="166">
        <v>0.2</v>
      </c>
      <c r="H17" s="24" t="s">
        <v>594</v>
      </c>
    </row>
    <row r="18" spans="1:8" x14ac:dyDescent="0.3">
      <c r="A18" s="1" t="s">
        <v>595</v>
      </c>
      <c r="B18" s="101">
        <f>D12</f>
        <v>138.8818277841068</v>
      </c>
      <c r="H18" s="24"/>
    </row>
    <row r="19" spans="1:8" x14ac:dyDescent="0.3">
      <c r="A19" s="1" t="s">
        <v>596</v>
      </c>
      <c r="B19" s="101">
        <f>B18*(1-B17)</f>
        <v>111.10546222728544</v>
      </c>
      <c r="H19" s="24" t="s">
        <v>597</v>
      </c>
    </row>
    <row r="20" spans="1:8" x14ac:dyDescent="0.3">
      <c r="A20" s="1" t="s">
        <v>598</v>
      </c>
      <c r="B20" s="133">
        <f>G10-B16</f>
        <v>9.8120755127001413E-2</v>
      </c>
      <c r="H20" s="24"/>
    </row>
    <row r="21" spans="1:8" x14ac:dyDescent="0.3">
      <c r="A21" s="27" t="s">
        <v>599</v>
      </c>
      <c r="B21" s="149" t="str">
        <f>IF(AND($B$5&lt;=B19,G10&gt;=B16),"BUY – start / add to position",IF($B$5&lt;=B18,"HOLD – watchlist, thin margin of safety","PASS at this price"))</f>
        <v>BUY – start / add to position</v>
      </c>
      <c r="C21" s="26"/>
      <c r="D21" s="26"/>
      <c r="E21" s="26"/>
      <c r="F21" s="26"/>
      <c r="G21" s="26"/>
      <c r="H21" s="134" t="s">
        <v>600</v>
      </c>
    </row>
    <row r="22" spans="1:8" x14ac:dyDescent="0.3">
      <c r="A22" s="1" t="s">
        <v>601</v>
      </c>
      <c r="B22" s="84">
        <f>'DCF Base'!B178</f>
        <v>-0.24921135636838218</v>
      </c>
      <c r="H22" s="24" t="s">
        <v>602</v>
      </c>
    </row>
    <row r="23" spans="1:8" x14ac:dyDescent="0.3">
      <c r="A23" s="1" t="s">
        <v>603</v>
      </c>
      <c r="B23" s="62">
        <f>'DCF Base'!B179</f>
        <v>1.3755727607356485</v>
      </c>
      <c r="H23" s="24" t="s">
        <v>604</v>
      </c>
    </row>
    <row r="24" spans="1:8" x14ac:dyDescent="0.3">
      <c r="A24" s="1" t="s">
        <v>605</v>
      </c>
      <c r="B24" s="62">
        <f>Comps!K43</f>
        <v>6.474551175706809</v>
      </c>
      <c r="H24" s="24" t="s">
        <v>606</v>
      </c>
    </row>
    <row r="25" spans="1:8" ht="3" customHeight="1" x14ac:dyDescent="0.3"/>
    <row r="26" spans="1:8" x14ac:dyDescent="0.3">
      <c r="A26" s="5" t="s">
        <v>607</v>
      </c>
      <c r="B26" s="5"/>
      <c r="C26" s="5"/>
      <c r="D26" s="5"/>
      <c r="E26" s="5"/>
      <c r="F26" s="5"/>
      <c r="G26" s="5"/>
      <c r="H26" s="5"/>
    </row>
    <row r="27" spans="1:8" x14ac:dyDescent="0.3">
      <c r="A27" s="6" t="s">
        <v>608</v>
      </c>
      <c r="B27" s="7" t="s">
        <v>457</v>
      </c>
      <c r="C27" s="7" t="s">
        <v>458</v>
      </c>
      <c r="D27" s="7" t="s">
        <v>459</v>
      </c>
      <c r="E27" s="7"/>
      <c r="F27" s="7"/>
      <c r="G27" s="7"/>
      <c r="H27" s="7"/>
    </row>
    <row r="28" spans="1:8" x14ac:dyDescent="0.3">
      <c r="A28" s="1" t="s">
        <v>609</v>
      </c>
      <c r="B28" s="77">
        <f>'DCF Base'!B155</f>
        <v>631726.5249601641</v>
      </c>
      <c r="C28" s="77">
        <f>'DCF Base'!C155</f>
        <v>631726.5249601641</v>
      </c>
      <c r="D28" s="77">
        <f>'DCF Base'!D155</f>
        <v>631726.5249601641</v>
      </c>
    </row>
    <row r="29" spans="1:8" x14ac:dyDescent="0.3">
      <c r="A29" s="1" t="s">
        <v>464</v>
      </c>
      <c r="B29" s="77">
        <f>'DCF Base'!B159</f>
        <v>756097.19431435387</v>
      </c>
      <c r="C29" s="77">
        <f>'DCF Base'!C159</f>
        <v>1041010.1032988826</v>
      </c>
      <c r="D29" s="77">
        <f>'DCF Base'!D159</f>
        <v>898553.64880661829</v>
      </c>
    </row>
    <row r="30" spans="1:8" x14ac:dyDescent="0.3">
      <c r="A30" s="10" t="s">
        <v>610</v>
      </c>
      <c r="B30" s="87">
        <f>'DCF Base'!B160</f>
        <v>1387823.7192745181</v>
      </c>
      <c r="C30" s="87">
        <f>'DCF Base'!C160</f>
        <v>1672736.6282590467</v>
      </c>
      <c r="D30" s="87">
        <f>'DCF Base'!D160</f>
        <v>1530280.1737667825</v>
      </c>
    </row>
    <row r="31" spans="1:8" x14ac:dyDescent="0.3">
      <c r="A31" s="1" t="s">
        <v>466</v>
      </c>
      <c r="B31" s="41">
        <f>'DCF Base'!B161</f>
        <v>0.54480780506446602</v>
      </c>
      <c r="C31" s="41">
        <f>'DCF Base'!C161</f>
        <v>0.62233951580431801</v>
      </c>
      <c r="D31" s="41">
        <f>'DCF Base'!D161</f>
        <v>0.58718244162755484</v>
      </c>
    </row>
    <row r="32" spans="1:8" x14ac:dyDescent="0.3">
      <c r="A32" s="1" t="s">
        <v>611</v>
      </c>
      <c r="B32" s="77">
        <f>'DCF Base'!B162</f>
        <v>151251</v>
      </c>
      <c r="C32" s="77">
        <f>'DCF Base'!C162</f>
        <v>151251</v>
      </c>
      <c r="D32" s="77">
        <f>'DCF Base'!D162</f>
        <v>151251</v>
      </c>
    </row>
    <row r="33" spans="1:6" x14ac:dyDescent="0.3">
      <c r="A33" s="10" t="s">
        <v>612</v>
      </c>
      <c r="B33" s="87">
        <f>'DCF Base'!B163</f>
        <v>1603929.1309413114</v>
      </c>
      <c r="C33" s="87">
        <f>'DCF Base'!C163</f>
        <v>1900847.8632020331</v>
      </c>
      <c r="D33" s="87">
        <f>'DCF Base'!D163</f>
        <v>1752388.4970716722</v>
      </c>
    </row>
    <row r="34" spans="1:6" x14ac:dyDescent="0.3">
      <c r="A34" s="1" t="s">
        <v>613</v>
      </c>
      <c r="B34" s="65">
        <f>'DCF Base'!B164</f>
        <v>15663.257426548837</v>
      </c>
      <c r="C34" s="65">
        <f>'DCF Base'!C164</f>
        <v>15663.257426548837</v>
      </c>
      <c r="D34" s="65">
        <f>'DCF Base'!D164</f>
        <v>15663.257426548837</v>
      </c>
    </row>
    <row r="35" spans="1:6" x14ac:dyDescent="0.3">
      <c r="A35" s="10" t="s">
        <v>614</v>
      </c>
      <c r="B35" s="125">
        <f>'DCF Base'!B165</f>
        <v>102.40073870092252</v>
      </c>
      <c r="C35" s="125">
        <f>'DCF Base'!C165</f>
        <v>121.35712332609324</v>
      </c>
      <c r="D35" s="125">
        <f>'DCF Base'!D165</f>
        <v>111.87893101350788</v>
      </c>
    </row>
    <row r="36" spans="1:6" ht="3" customHeight="1" x14ac:dyDescent="0.3"/>
    <row r="37" spans="1:6" x14ac:dyDescent="0.3">
      <c r="A37" s="5" t="s">
        <v>615</v>
      </c>
      <c r="B37" s="5"/>
      <c r="C37" s="5"/>
      <c r="D37" s="5"/>
      <c r="E37" s="5"/>
      <c r="F37" s="5"/>
    </row>
    <row r="38" spans="1:6" x14ac:dyDescent="0.3">
      <c r="A38" s="135" t="str">
        <f>'DCF Base'!A188</f>
        <v xml:space="preserve">  WACC ↓  \  Tg →</v>
      </c>
      <c r="B38" s="108">
        <f>'DCF Base'!B188</f>
        <v>2.5000000000000001E-2</v>
      </c>
      <c r="C38" s="108">
        <f>'DCF Base'!C188</f>
        <v>3.0000000000000002E-2</v>
      </c>
      <c r="D38" s="108">
        <f>'DCF Base'!D188</f>
        <v>3.5000000000000003E-2</v>
      </c>
      <c r="E38" s="108">
        <f>'DCF Base'!E188</f>
        <v>0.04</v>
      </c>
      <c r="F38" s="108">
        <f>'DCF Base'!F188</f>
        <v>4.5000000000000005E-2</v>
      </c>
    </row>
    <row r="39" spans="1:6" x14ac:dyDescent="0.3">
      <c r="A39" s="109">
        <f>'DCF Base'!A189</f>
        <v>0.11367493162419763</v>
      </c>
      <c r="B39" s="20">
        <f>'DCF Base'!B189</f>
        <v>135.85865172454783</v>
      </c>
      <c r="C39" s="20">
        <f>'DCF Base'!C189</f>
        <v>143.86294641351239</v>
      </c>
      <c r="D39" s="20">
        <f>'DCF Base'!D189</f>
        <v>153.63994836814138</v>
      </c>
      <c r="E39" s="20">
        <f>'DCF Base'!E189</f>
        <v>165.85189074510694</v>
      </c>
      <c r="F39" s="20">
        <f>'DCF Base'!F189</f>
        <v>181.53777924671124</v>
      </c>
    </row>
    <row r="40" spans="1:6" x14ac:dyDescent="0.3">
      <c r="A40" s="109">
        <f>'DCF Base'!A190</f>
        <v>0.12367493162419764</v>
      </c>
      <c r="B40" s="20">
        <f>'DCF Base'!B190</f>
        <v>112.34621235601207</v>
      </c>
      <c r="C40" s="20">
        <f>'DCF Base'!C190</f>
        <v>117.35451870342942</v>
      </c>
      <c r="D40" s="20">
        <f>'DCF Base'!D190</f>
        <v>123.27090107373597</v>
      </c>
      <c r="E40" s="20">
        <f>'DCF Base'!E190</f>
        <v>130.36695152163122</v>
      </c>
      <c r="F40" s="20">
        <f>'DCF Base'!F190</f>
        <v>139.03456082328125</v>
      </c>
    </row>
    <row r="41" spans="1:6" x14ac:dyDescent="0.3">
      <c r="A41" s="109">
        <f>'DCF Base'!A191</f>
        <v>0.13367493162419763</v>
      </c>
      <c r="B41" s="20">
        <f>'DCF Base'!B191</f>
        <v>95.2855283460664</v>
      </c>
      <c r="C41" s="20">
        <f>'DCF Base'!C191</f>
        <v>98.589572866038992</v>
      </c>
      <c r="D41" s="167">
        <f>'DCF Base'!D191</f>
        <v>102.40073870092249</v>
      </c>
      <c r="E41" s="20">
        <f>'DCF Base'!E191</f>
        <v>106.84548383556174</v>
      </c>
      <c r="F41" s="20">
        <f>'DCF Base'!F191</f>
        <v>112.0961234592034</v>
      </c>
    </row>
    <row r="42" spans="1:6" x14ac:dyDescent="0.3">
      <c r="A42" s="109">
        <f>'DCF Base'!A192</f>
        <v>0.14367493162419764</v>
      </c>
      <c r="B42" s="20">
        <f>'DCF Base'!B192</f>
        <v>82.390462457445167</v>
      </c>
      <c r="C42" s="20">
        <f>'DCF Base'!C192</f>
        <v>84.657866245057292</v>
      </c>
      <c r="D42" s="20">
        <f>'DCF Base'!D192</f>
        <v>87.226975295579592</v>
      </c>
      <c r="E42" s="20">
        <f>'DCF Base'!E192</f>
        <v>90.162299790164283</v>
      </c>
      <c r="F42" s="20">
        <f>'DCF Base'!F192</f>
        <v>93.548152601902657</v>
      </c>
    </row>
    <row r="43" spans="1:6" x14ac:dyDescent="0.3">
      <c r="A43" s="109">
        <f>'DCF Base'!A193</f>
        <v>0.15367493162419762</v>
      </c>
      <c r="B43" s="20">
        <f>'DCF Base'!B193</f>
        <v>72.337187616110313</v>
      </c>
      <c r="C43" s="20">
        <f>'DCF Base'!C193</f>
        <v>73.941549944163825</v>
      </c>
      <c r="D43" s="20">
        <f>'DCF Base'!D193</f>
        <v>75.734321774682826</v>
      </c>
      <c r="E43" s="20">
        <f>'DCF Base'!E193</f>
        <v>77.750762481752716</v>
      </c>
      <c r="F43" s="20">
        <f>'DCF Base'!F193</f>
        <v>80.035514804509731</v>
      </c>
    </row>
    <row r="44" spans="1:6" ht="3" customHeight="1" x14ac:dyDescent="0.3"/>
    <row r="45" spans="1:6" x14ac:dyDescent="0.3">
      <c r="A45" s="5" t="s">
        <v>616</v>
      </c>
      <c r="B45" s="5"/>
      <c r="C45" s="5"/>
      <c r="D45" s="5"/>
      <c r="E45" s="5"/>
      <c r="F45" s="5"/>
    </row>
    <row r="46" spans="1:6" x14ac:dyDescent="0.3">
      <c r="A46" s="135" t="str">
        <f>'DCF Base'!A196</f>
        <v xml:space="preserve">  WACC ↓  \  Exit multiple →</v>
      </c>
      <c r="B46" s="110">
        <f>'DCF Base'!B196</f>
        <v>10</v>
      </c>
      <c r="C46" s="110">
        <f>'DCF Base'!C196</f>
        <v>12</v>
      </c>
      <c r="D46" s="110">
        <f>'DCF Base'!D196</f>
        <v>14</v>
      </c>
      <c r="E46" s="110">
        <f>'DCF Base'!E196</f>
        <v>16</v>
      </c>
      <c r="F46" s="110">
        <f>'DCF Base'!F196</f>
        <v>18</v>
      </c>
    </row>
    <row r="47" spans="1:6" x14ac:dyDescent="0.3">
      <c r="A47" s="109">
        <f>'DCF Base'!A197</f>
        <v>0.11367493162419763</v>
      </c>
      <c r="B47" s="20">
        <f>'DCF Base'!B197</f>
        <v>123.71586921408354</v>
      </c>
      <c r="C47" s="20">
        <f>'DCF Base'!C197</f>
        <v>136.5249657526418</v>
      </c>
      <c r="D47" s="20">
        <f>'DCF Base'!D197</f>
        <v>149.33406229120007</v>
      </c>
      <c r="E47" s="20">
        <f>'DCF Base'!E197</f>
        <v>162.14315882975831</v>
      </c>
      <c r="F47" s="20">
        <f>'DCF Base'!F197</f>
        <v>174.95225536831654</v>
      </c>
    </row>
    <row r="48" spans="1:6" x14ac:dyDescent="0.3">
      <c r="A48" s="109">
        <f>'DCF Base'!A198</f>
        <v>0.12367493162419764</v>
      </c>
      <c r="B48" s="20">
        <f>'DCF Base'!B198</f>
        <v>111.95178901348666</v>
      </c>
      <c r="C48" s="20">
        <f>'DCF Base'!C198</f>
        <v>123.20327660282059</v>
      </c>
      <c r="D48" s="20">
        <f>'DCF Base'!D198</f>
        <v>134.45476419215453</v>
      </c>
      <c r="E48" s="20">
        <f>'DCF Base'!E198</f>
        <v>145.70625178148848</v>
      </c>
      <c r="F48" s="20">
        <f>'DCF Base'!F198</f>
        <v>156.95773937082242</v>
      </c>
    </row>
    <row r="49" spans="1:8" x14ac:dyDescent="0.3">
      <c r="A49" s="109">
        <f>'DCF Base'!A199</f>
        <v>0.13367493162419763</v>
      </c>
      <c r="B49" s="20">
        <f>'DCF Base'!B199</f>
        <v>101.56783003226687</v>
      </c>
      <c r="C49" s="20">
        <f>'DCF Base'!C199</f>
        <v>111.46247667918006</v>
      </c>
      <c r="D49" s="167">
        <f>'DCF Base'!D199</f>
        <v>121.35712332609324</v>
      </c>
      <c r="E49" s="20">
        <f>'DCF Base'!E199</f>
        <v>131.25176997300642</v>
      </c>
      <c r="F49" s="20">
        <f>'DCF Base'!F199</f>
        <v>141.14641661991962</v>
      </c>
    </row>
    <row r="50" spans="1:8" x14ac:dyDescent="0.3">
      <c r="A50" s="109">
        <f>'DCF Base'!A200</f>
        <v>0.14367493162419764</v>
      </c>
      <c r="B50" s="20">
        <f>'DCF Base'!B200</f>
        <v>92.386940482939167</v>
      </c>
      <c r="C50" s="20">
        <f>'DCF Base'!C200</f>
        <v>101.09819630766916</v>
      </c>
      <c r="D50" s="20">
        <f>'DCF Base'!D200</f>
        <v>109.80945213239913</v>
      </c>
      <c r="E50" s="20">
        <f>'DCF Base'!E200</f>
        <v>118.52070795712912</v>
      </c>
      <c r="F50" s="20">
        <f>'DCF Base'!F200</f>
        <v>127.23196378185909</v>
      </c>
    </row>
    <row r="51" spans="1:8" x14ac:dyDescent="0.3">
      <c r="A51" s="109">
        <f>'DCF Base'!A201</f>
        <v>0.15367493162419762</v>
      </c>
      <c r="B51" s="20">
        <f>'DCF Base'!B201</f>
        <v>84.256420743450036</v>
      </c>
      <c r="C51" s="20">
        <f>'DCF Base'!C201</f>
        <v>91.934327731629224</v>
      </c>
      <c r="D51" s="20">
        <f>'DCF Base'!D201</f>
        <v>99.612234719808413</v>
      </c>
      <c r="E51" s="20">
        <f>'DCF Base'!E201</f>
        <v>107.29014170798763</v>
      </c>
      <c r="F51" s="20">
        <f>'DCF Base'!F201</f>
        <v>114.96804869616682</v>
      </c>
    </row>
    <row r="52" spans="1:8" ht="3" customHeight="1" x14ac:dyDescent="0.3"/>
    <row r="53" spans="1:8" x14ac:dyDescent="0.3">
      <c r="A53" s="5" t="s">
        <v>617</v>
      </c>
      <c r="B53" s="5"/>
      <c r="C53" s="5"/>
      <c r="D53" s="5"/>
      <c r="E53" s="5"/>
      <c r="F53" s="5"/>
      <c r="G53" s="5"/>
      <c r="H53" s="5"/>
    </row>
    <row r="54" spans="1:8" x14ac:dyDescent="0.3">
      <c r="A54" s="6" t="s">
        <v>177</v>
      </c>
      <c r="B54" s="7" t="s">
        <v>6</v>
      </c>
      <c r="C54" s="7" t="s">
        <v>192</v>
      </c>
      <c r="D54" s="7" t="s">
        <v>193</v>
      </c>
      <c r="E54" s="7" t="s">
        <v>194</v>
      </c>
      <c r="F54" s="7" t="s">
        <v>196</v>
      </c>
      <c r="G54" s="7" t="s">
        <v>201</v>
      </c>
      <c r="H54" s="7" t="s">
        <v>206</v>
      </c>
    </row>
    <row r="55" spans="1:8" x14ac:dyDescent="0.3">
      <c r="A55" s="10" t="s">
        <v>618</v>
      </c>
      <c r="B55" s="87">
        <f>'DCF Base'!D65</f>
        <v>4585</v>
      </c>
      <c r="C55" s="87">
        <f>'DCF Base'!E65</f>
        <v>54504.162499999999</v>
      </c>
      <c r="D55" s="87">
        <f>'DCF Base'!F65</f>
        <v>113368.658</v>
      </c>
      <c r="E55" s="87">
        <f>'DCF Base'!G65</f>
        <v>180299.76955</v>
      </c>
      <c r="F55" s="87">
        <f>'DCF Base'!I65</f>
        <v>326334.29825280001</v>
      </c>
      <c r="G55" s="87">
        <f>'DCF Base'!N65</f>
        <v>673940.81300650316</v>
      </c>
      <c r="H55" s="87">
        <f>'DCF Base'!S65</f>
        <v>902029.72395356465</v>
      </c>
    </row>
    <row r="56" spans="1:8" x14ac:dyDescent="0.3">
      <c r="A56" s="1" t="s">
        <v>376</v>
      </c>
      <c r="B56" s="41">
        <f>'DCF Base'!D66</f>
        <v>10.878238341968911</v>
      </c>
      <c r="C56" s="41">
        <f>'DCF Base'!E66</f>
        <v>10.887494547437296</v>
      </c>
      <c r="D56" s="41">
        <f>'DCF Base'!F66</f>
        <v>1.08</v>
      </c>
      <c r="E56" s="41">
        <f>'DCF Base'!G66</f>
        <v>0.59038461538461551</v>
      </c>
      <c r="F56" s="41">
        <f>'DCF Base'!I66</f>
        <v>0.29629514159521952</v>
      </c>
      <c r="G56" s="41">
        <f>'DCF Base'!N66</f>
        <v>9.8258432466381329E-2</v>
      </c>
      <c r="H56" s="41">
        <f>'DCF Base'!S66</f>
        <v>4.0000000000000036E-2</v>
      </c>
    </row>
    <row r="57" spans="1:8" x14ac:dyDescent="0.3">
      <c r="A57" s="1" t="s">
        <v>519</v>
      </c>
      <c r="B57" s="65">
        <f>'DCF Base'!D80</f>
        <v>0.61050000000000004</v>
      </c>
      <c r="C57" s="65">
        <f>'DCF Base'!E80</f>
        <v>2.4981074479166665</v>
      </c>
      <c r="D57" s="65">
        <f>'DCF Base'!F80</f>
        <v>4.8682969634353741</v>
      </c>
      <c r="E57" s="65">
        <f>'DCF Base'!G80</f>
        <v>7.274693950502396</v>
      </c>
      <c r="F57" s="65">
        <f>'DCF Base'!I80</f>
        <v>11.793368445404937</v>
      </c>
      <c r="G57" s="65">
        <f>'DCF Base'!N80</f>
        <v>21.892130357532587</v>
      </c>
      <c r="H57" s="65">
        <f>'DCF Base'!S80</f>
        <v>30.919780004379291</v>
      </c>
    </row>
    <row r="58" spans="1:8" x14ac:dyDescent="0.3">
      <c r="A58" s="1" t="s">
        <v>619</v>
      </c>
      <c r="B58" s="136">
        <f>'DCF Base'!D81</f>
        <v>396.82500000000005</v>
      </c>
      <c r="C58" s="136">
        <f>'DCF Base'!E81</f>
        <v>1623.7698411458332</v>
      </c>
      <c r="D58" s="136">
        <f>'DCF Base'!F81</f>
        <v>3069.4612354460032</v>
      </c>
      <c r="E58" s="136">
        <f>'DCF Base'!G81</f>
        <v>4449.2028201272651</v>
      </c>
      <c r="F58" s="136">
        <f>'DCF Base'!I81</f>
        <v>6785.9042034860004</v>
      </c>
      <c r="G58" s="136">
        <f>'DCF Base'!N81</f>
        <v>10819.090822692604</v>
      </c>
      <c r="H58" s="136">
        <f>'DCF Base'!S81</f>
        <v>13119.262655858134</v>
      </c>
    </row>
    <row r="59" spans="1:8" x14ac:dyDescent="0.3">
      <c r="A59" s="1" t="s">
        <v>620</v>
      </c>
      <c r="C59" s="41">
        <f>'DCF Base'!E86</f>
        <v>7.5561499546020913E-2</v>
      </c>
      <c r="D59" s="41">
        <f>'DCF Base'!F86</f>
        <v>0.13614589514023731</v>
      </c>
      <c r="E59" s="41">
        <f>'DCF Base'!G86</f>
        <v>0.19034721645161237</v>
      </c>
      <c r="F59" s="41">
        <f>'DCF Base'!I86</f>
        <v>0.26088380993428795</v>
      </c>
      <c r="G59" s="41">
        <f>'DCF Base'!N86</f>
        <v>0.32505761388354726</v>
      </c>
      <c r="H59" s="41">
        <f>'DCF Base'!S86</f>
        <v>0.34693854594264406</v>
      </c>
    </row>
    <row r="60" spans="1:8" x14ac:dyDescent="0.3">
      <c r="A60" s="1" t="s">
        <v>621</v>
      </c>
      <c r="B60" s="41">
        <f>'DCF Base'!D79</f>
        <v>1.5978189749182115</v>
      </c>
      <c r="C60" s="41">
        <f>'DCF Base'!E79</f>
        <v>0.55000000000000004</v>
      </c>
      <c r="D60" s="41">
        <f>'DCF Base'!F79</f>
        <v>0.505</v>
      </c>
      <c r="E60" s="41">
        <f>'DCF Base'!G79</f>
        <v>0.46500000000000002</v>
      </c>
      <c r="F60" s="41">
        <f>'DCF Base'!I79</f>
        <v>0.39999999999999997</v>
      </c>
      <c r="G60" s="41">
        <f>'DCF Base'!N79</f>
        <v>0.32499999999999996</v>
      </c>
      <c r="H60" s="41">
        <f>'DCF Base'!S79</f>
        <v>0.31</v>
      </c>
    </row>
    <row r="61" spans="1:8" x14ac:dyDescent="0.3">
      <c r="A61" s="1" t="s">
        <v>622</v>
      </c>
      <c r="B61" s="41">
        <f>'DCF Base'!D117</f>
        <v>-1.1694656488549617</v>
      </c>
      <c r="C61" s="41">
        <f>'DCF Base'!E117</f>
        <v>0.12627610718123608</v>
      </c>
      <c r="D61" s="41">
        <f>'DCF Base'!F117</f>
        <v>0.23232799737701021</v>
      </c>
      <c r="E61" s="41">
        <f>'DCF Base'!G117</f>
        <v>0.31551053023851938</v>
      </c>
      <c r="F61" s="41">
        <f>'DCF Base'!I117</f>
        <v>0.42529257856330616</v>
      </c>
      <c r="G61" s="41">
        <f>'DCF Base'!N117</f>
        <v>0.53586389312353611</v>
      </c>
      <c r="H61" s="41">
        <f>'DCF Base'!S117</f>
        <v>0.53564085827884778</v>
      </c>
    </row>
    <row r="62" spans="1:8" x14ac:dyDescent="0.3">
      <c r="A62" s="1" t="s">
        <v>623</v>
      </c>
      <c r="B62" s="41">
        <f>'DCF Base'!D120</f>
        <v>-1.7579062159214831</v>
      </c>
      <c r="C62" s="41">
        <f>'DCF Base'!E120</f>
        <v>1.6799353150446828E-2</v>
      </c>
      <c r="D62" s="41">
        <f>'DCF Base'!F120</f>
        <v>0.13971790969370743</v>
      </c>
      <c r="E62" s="41">
        <f>'DCF Base'!G120</f>
        <v>0.22206413570378813</v>
      </c>
      <c r="F62" s="41">
        <f>'DCF Base'!I120</f>
        <v>0.32999515339055269</v>
      </c>
      <c r="G62" s="41">
        <f>'DCF Base'!N120</f>
        <v>0.44801965501499141</v>
      </c>
      <c r="H62" s="41">
        <f>'DCF Base'!S120</f>
        <v>0.45170841620550162</v>
      </c>
    </row>
    <row r="63" spans="1:8" x14ac:dyDescent="0.3">
      <c r="A63" s="10" t="s">
        <v>624</v>
      </c>
      <c r="C63" s="87">
        <f>'DCF Base'!E140</f>
        <v>-7691.9670209974738</v>
      </c>
      <c r="D63" s="87">
        <f>'DCF Base'!F140</f>
        <v>-4801.4882874661516</v>
      </c>
      <c r="E63" s="87">
        <f>'DCF Base'!G140</f>
        <v>3968.371421704509</v>
      </c>
      <c r="F63" s="87">
        <f>'DCF Base'!I140</f>
        <v>52034.742212435209</v>
      </c>
      <c r="G63" s="87">
        <f>'DCF Base'!N140</f>
        <v>209799.88835480314</v>
      </c>
      <c r="H63" s="87">
        <f>'DCF Base'!S140</f>
        <v>293683.20253334782</v>
      </c>
    </row>
    <row r="64" spans="1:8" x14ac:dyDescent="0.3">
      <c r="A64" s="1" t="s">
        <v>625</v>
      </c>
      <c r="C64" s="41">
        <f>'DCF Base'!E141</f>
        <v>-0.14112623088186108</v>
      </c>
      <c r="D64" s="41">
        <f>'DCF Base'!F141</f>
        <v>-4.2352872232695495E-2</v>
      </c>
      <c r="E64" s="41">
        <f>'DCF Base'!G141</f>
        <v>2.2009852988769441E-2</v>
      </c>
      <c r="F64" s="41">
        <f>'DCF Base'!I141</f>
        <v>0.15945226257561709</v>
      </c>
      <c r="G64" s="41">
        <f>'DCF Base'!N141</f>
        <v>0.31130313568467427</v>
      </c>
      <c r="H64" s="41">
        <f>'DCF Base'!S141</f>
        <v>0.32558040465245941</v>
      </c>
    </row>
    <row r="66" spans="1:1" x14ac:dyDescent="0.3">
      <c r="A66"/>
    </row>
    <row r="100" spans="1:1" x14ac:dyDescent="0.3">
      <c r="A100" s="183" t="s">
        <v>932</v>
      </c>
    </row>
  </sheetData>
  <sheetProtection algorithmName="SHA-512" hashValue="fGoKZ1GP0cT9+DVQtggWLZVZvcJAG6RjTUyv+qiG1qqp1ctCJJ4Byxa/lHZnaeCDC/c20ldH9kIXxOwYu6nllA==" saltValue="rXsMW4JRo3BKaRbhyQ5FKw==" spinCount="100000" sheet="1" objects="1" scenarios="1" sort="0" autoFilter="0"/>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6846A-705E-4AA2-B219-260CA9EC8072}">
  <sheetPr>
    <tabColor rgb="FFD97757"/>
  </sheetPr>
  <dimension ref="A1:AK102"/>
  <sheetViews>
    <sheetView showGridLines="0" zoomScaleNormal="100" workbookViewId="0">
      <selection activeCell="AA41" sqref="AA41"/>
    </sheetView>
  </sheetViews>
  <sheetFormatPr defaultRowHeight="14.4" x14ac:dyDescent="0.3"/>
  <cols>
    <col min="1" max="19" width="8.88671875" style="1"/>
    <col min="20" max="20" width="3.6640625" style="1" customWidth="1"/>
    <col min="21" max="21" width="17.5546875" style="1" customWidth="1"/>
    <col min="22" max="26" width="14.77734375" style="1" customWidth="1"/>
    <col min="27" max="27" width="27.77734375" style="1" customWidth="1"/>
    <col min="28" max="30" width="13.33203125" style="1" customWidth="1"/>
    <col min="31" max="37" width="13.33203125" customWidth="1"/>
  </cols>
  <sheetData>
    <row r="1" spans="1:37" ht="30" customHeight="1" x14ac:dyDescent="0.4">
      <c r="A1" s="2" t="s">
        <v>872</v>
      </c>
    </row>
    <row r="2" spans="1:37" x14ac:dyDescent="0.3">
      <c r="A2" s="24" t="s">
        <v>906</v>
      </c>
    </row>
    <row r="4" spans="1:37" x14ac:dyDescent="0.3">
      <c r="U4" s="24" t="s">
        <v>907</v>
      </c>
    </row>
    <row r="5" spans="1:37" x14ac:dyDescent="0.3">
      <c r="U5" s="24" t="str">
        <f>"Income statement bridge – "&amp;Actuals!B5&amp;" ($M), as reported in S-1 / 10-Q"</f>
        <v>Income statement bridge – 6M 2026A ($M), as reported in S-1 / 10-Q</v>
      </c>
    </row>
    <row r="6" spans="1:37" x14ac:dyDescent="0.3">
      <c r="U6" s="5" t="s">
        <v>908</v>
      </c>
      <c r="V6" s="5"/>
      <c r="W6" s="5"/>
      <c r="X6" s="5"/>
      <c r="Y6" s="5"/>
      <c r="Z6" s="5"/>
      <c r="AA6" s="5"/>
      <c r="AB6" s="5"/>
      <c r="AC6" s="5"/>
      <c r="AD6" s="5"/>
      <c r="AE6" s="175"/>
      <c r="AF6" s="175"/>
      <c r="AG6" s="175"/>
      <c r="AH6" s="175"/>
      <c r="AI6" s="175"/>
      <c r="AJ6" s="175"/>
      <c r="AK6" s="175"/>
    </row>
    <row r="7" spans="1:37" x14ac:dyDescent="0.3">
      <c r="U7" s="6" t="s">
        <v>889</v>
      </c>
      <c r="V7" s="7" t="s">
        <v>254</v>
      </c>
      <c r="W7" s="7" t="s">
        <v>890</v>
      </c>
      <c r="X7" s="7" t="s">
        <v>891</v>
      </c>
      <c r="Y7" s="7" t="s">
        <v>892</v>
      </c>
      <c r="Z7" s="7" t="s">
        <v>676</v>
      </c>
      <c r="AA7" s="135" t="s">
        <v>893</v>
      </c>
      <c r="AB7" s="7" t="s">
        <v>894</v>
      </c>
      <c r="AC7" s="7" t="s">
        <v>895</v>
      </c>
      <c r="AD7" s="7" t="s">
        <v>896</v>
      </c>
      <c r="AE7" s="176" t="s">
        <v>897</v>
      </c>
      <c r="AF7" s="176" t="s">
        <v>900</v>
      </c>
      <c r="AG7" s="176" t="s">
        <v>901</v>
      </c>
      <c r="AH7" s="176" t="s">
        <v>902</v>
      </c>
      <c r="AI7" s="176" t="s">
        <v>903</v>
      </c>
      <c r="AJ7" s="176" t="s">
        <v>904</v>
      </c>
      <c r="AK7" s="176" t="s">
        <v>905</v>
      </c>
    </row>
    <row r="8" spans="1:37" x14ac:dyDescent="0.3">
      <c r="U8" s="23" t="s">
        <v>898</v>
      </c>
      <c r="V8" s="76">
        <f>INDEX(Historicals!$B$7:$K$7,MATCH(Actuals!$B$5,Historicals!$B$6:$K$6,0))</f>
        <v>16286</v>
      </c>
      <c r="W8" s="29">
        <f>0</f>
        <v>0</v>
      </c>
      <c r="X8" s="29">
        <f>IF(U8="Total",V8,W8+V8)</f>
        <v>16286</v>
      </c>
      <c r="Y8" s="29">
        <f>MIN(W8,X8)</f>
        <v>0</v>
      </c>
      <c r="Z8" s="29">
        <f>MAX(W8,X8)</f>
        <v>16286</v>
      </c>
      <c r="AA8" s="179" t="str">
        <f>"Revenue"&amp;CHAR(10)&amp;TEXT(V8,"$#,##0;($#,##0);-")</f>
        <v>Revenue
$16,286</v>
      </c>
      <c r="AB8" s="29">
        <f>IF(U8="Rev",0,IF(Y8&gt;0,Y8,0))</f>
        <v>0</v>
      </c>
      <c r="AC8" s="29">
        <f>IF(Z8&lt;0,Z8,0)</f>
        <v>0</v>
      </c>
      <c r="AD8" s="76">
        <f>IF(U8="Rev",INDEX(Historicals!$B$72:$K$72,MATCH(Actuals!$B$5,Historicals!$B$68:$K$68,0)),0)</f>
        <v>13064</v>
      </c>
      <c r="AE8" s="177">
        <f>IF(U8="Rev",INDEX(Historicals!$B$73:$K$73,MATCH(Actuals!$B$5,Historicals!$B$68:$K$68,0)),0)</f>
        <v>3222</v>
      </c>
      <c r="AF8" s="178">
        <f>IF(AND(U8="Step",V8&lt;0),MAX(Z8,0)-MAX(Y8,0),0)</f>
        <v>0</v>
      </c>
      <c r="AG8" s="178">
        <f>IF(AND(U8="Step",V8&lt;0),MIN(Y8,0)-MIN(Z8,0),0)</f>
        <v>0</v>
      </c>
      <c r="AH8" s="178">
        <f>IF(AND(U8="Step",V8&gt;0),MAX(Z8,0)-MAX(Y8,0),0)</f>
        <v>0</v>
      </c>
      <c r="AI8" s="178">
        <f>IF(AND(U8="Step",V8&gt;0),MIN(Y8,0)-MIN(Z8,0),0)</f>
        <v>0</v>
      </c>
      <c r="AJ8" s="178">
        <f>IF(U8="Total",MAX(Z8,0)-MAX(Y8,0),0)</f>
        <v>0</v>
      </c>
      <c r="AK8" s="178">
        <f>IF(U8="Total",MIN(Y8,0)-MIN(Z8,0),0)</f>
        <v>0</v>
      </c>
    </row>
    <row r="9" spans="1:37" x14ac:dyDescent="0.3">
      <c r="U9" s="23" t="s">
        <v>899</v>
      </c>
      <c r="V9" s="76">
        <f>-INDEX(Historicals!$B$9:$K$9,MATCH(Actuals!$B$5,Historicals!$B$6:$K$6,0))</f>
        <v>-8945</v>
      </c>
      <c r="W9" s="29">
        <f>IF(U9="Total",0,X8)</f>
        <v>16286</v>
      </c>
      <c r="X9" s="29">
        <f>IF(U9="Total",V9,W9+V9)</f>
        <v>7341</v>
      </c>
      <c r="Y9" s="29">
        <f>MIN(W9,X9)</f>
        <v>7341</v>
      </c>
      <c r="Z9" s="29">
        <f>MAX(W9,X9)</f>
        <v>16286</v>
      </c>
      <c r="AA9" s="179" t="str">
        <f>"Compute &amp; infra"&amp;CHAR(10)&amp;TEXT(V9,"$#,##0;($#,##0);-")</f>
        <v>Compute &amp; infra
($8,945)</v>
      </c>
      <c r="AB9" s="29">
        <f>IF(U9="Rev",0,IF(Y9&gt;0,Y9,0))</f>
        <v>7341</v>
      </c>
      <c r="AC9" s="29">
        <f>IF(Z9&lt;0,Z9,0)</f>
        <v>0</v>
      </c>
      <c r="AD9" s="76">
        <f>IF(U9="Rev",INDEX(Historicals!$B$72:$K$72,MATCH(Actuals!$B$5,Historicals!$B$68:$K$68,0)),0)</f>
        <v>0</v>
      </c>
      <c r="AE9" s="177">
        <f>IF(U9="Rev",INDEX(Historicals!$B$73:$K$73,MATCH(Actuals!$B$5,Historicals!$B$68:$K$68,0)),0)</f>
        <v>0</v>
      </c>
      <c r="AF9" s="178">
        <f>IF(AND(U9="Step",V9&lt;0),MAX(Z9,0)-MAX(Y9,0),0)</f>
        <v>8945</v>
      </c>
      <c r="AG9" s="178">
        <f>IF(AND(U9="Step",V9&lt;0),MIN(Y9,0)-MIN(Z9,0),0)</f>
        <v>0</v>
      </c>
      <c r="AH9" s="178">
        <f>IF(AND(U9="Step",V9&gt;0),MAX(Z9,0)-MAX(Y9,0),0)</f>
        <v>0</v>
      </c>
      <c r="AI9" s="178">
        <f>IF(AND(U9="Step",V9&gt;0),MIN(Y9,0)-MIN(Z9,0),0)</f>
        <v>0</v>
      </c>
      <c r="AJ9" s="178">
        <f>IF(U9="Total",MAX(Z9,0)-MAX(Y9,0),0)</f>
        <v>0</v>
      </c>
      <c r="AK9" s="178">
        <f>IF(U9="Total",MIN(Y9,0)-MIN(Z9,0),0)</f>
        <v>0</v>
      </c>
    </row>
    <row r="10" spans="1:37" x14ac:dyDescent="0.3">
      <c r="U10" s="23" t="s">
        <v>899</v>
      </c>
      <c r="V10" s="76">
        <f>-INDEX(Historicals!$B$10:$K$10,MATCH(Actuals!$B$5,Historicals!$B$6:$K$6,0))</f>
        <v>-3152</v>
      </c>
      <c r="W10" s="29">
        <f>IF(U10="Total",0,X9)</f>
        <v>7341</v>
      </c>
      <c r="X10" s="29">
        <f>IF(U10="Total",V10,W10+V10)</f>
        <v>4189</v>
      </c>
      <c r="Y10" s="29">
        <f>MIN(W10,X10)</f>
        <v>4189</v>
      </c>
      <c r="Z10" s="29">
        <f>MAX(W10,X10)</f>
        <v>7341</v>
      </c>
      <c r="AA10" s="179" t="str">
        <f>"Personnel"&amp;CHAR(10)&amp;TEXT(V10,"$#,##0;($#,##0);-")</f>
        <v>Personnel
($3,152)</v>
      </c>
      <c r="AB10" s="29">
        <f>IF(U10="Rev",0,IF(Y10&gt;0,Y10,0))</f>
        <v>4189</v>
      </c>
      <c r="AC10" s="29">
        <f>IF(Z10&lt;0,Z10,0)</f>
        <v>0</v>
      </c>
      <c r="AD10" s="76">
        <f>IF(U10="Rev",INDEX(Historicals!$B$72:$K$72,MATCH(Actuals!$B$5,Historicals!$B$68:$K$68,0)),0)</f>
        <v>0</v>
      </c>
      <c r="AE10" s="177">
        <f>IF(U10="Rev",INDEX(Historicals!$B$73:$K$73,MATCH(Actuals!$B$5,Historicals!$B$68:$K$68,0)),0)</f>
        <v>0</v>
      </c>
      <c r="AF10" s="178">
        <f>IF(AND(U10="Step",V10&lt;0),MAX(Z10,0)-MAX(Y10,0),0)</f>
        <v>3152</v>
      </c>
      <c r="AG10" s="178">
        <f>IF(AND(U10="Step",V10&lt;0),MIN(Y10,0)-MIN(Z10,0),0)</f>
        <v>0</v>
      </c>
      <c r="AH10" s="178">
        <f>IF(AND(U10="Step",V10&gt;0),MAX(Z10,0)-MAX(Y10,0),0)</f>
        <v>0</v>
      </c>
      <c r="AI10" s="178">
        <f>IF(AND(U10="Step",V10&gt;0),MIN(Y10,0)-MIN(Z10,0),0)</f>
        <v>0</v>
      </c>
      <c r="AJ10" s="178">
        <f>IF(U10="Total",MAX(Z10,0)-MAX(Y10,0),0)</f>
        <v>0</v>
      </c>
      <c r="AK10" s="178">
        <f>IF(U10="Total",MIN(Y10,0)-MIN(Z10,0),0)</f>
        <v>0</v>
      </c>
    </row>
    <row r="11" spans="1:37" x14ac:dyDescent="0.3">
      <c r="U11" s="23" t="s">
        <v>899</v>
      </c>
      <c r="V11" s="76">
        <f>-INDEX(Historicals!$B$11:$K$11,MATCH(Actuals!$B$5,Historicals!$B$6:$K$6,0))</f>
        <v>0</v>
      </c>
      <c r="W11" s="29">
        <f>IF(U11="Total",0,X10)</f>
        <v>4189</v>
      </c>
      <c r="X11" s="29">
        <f>IF(U11="Total",V11,W11+V11)</f>
        <v>4189</v>
      </c>
      <c r="Y11" s="29">
        <f>MIN(W11,X11)</f>
        <v>4189</v>
      </c>
      <c r="Z11" s="29">
        <f>MAX(W11,X11)</f>
        <v>4189</v>
      </c>
      <c r="AA11" s="179" t="str">
        <f>"Bartz settlement"&amp;CHAR(10)&amp;TEXT(V11,"$#,##0;($#,##0);-")</f>
        <v>Bartz settlement
-</v>
      </c>
      <c r="AB11" s="29">
        <f>IF(U11="Rev",0,IF(Y11&gt;0,Y11,0))</f>
        <v>4189</v>
      </c>
      <c r="AC11" s="29">
        <f>IF(Z11&lt;0,Z11,0)</f>
        <v>0</v>
      </c>
      <c r="AD11" s="76">
        <f>IF(U11="Rev",INDEX(Historicals!$B$72:$K$72,MATCH(Actuals!$B$5,Historicals!$B$68:$K$68,0)),0)</f>
        <v>0</v>
      </c>
      <c r="AE11" s="177">
        <f>IF(U11="Rev",INDEX(Historicals!$B$73:$K$73,MATCH(Actuals!$B$5,Historicals!$B$68:$K$68,0)),0)</f>
        <v>0</v>
      </c>
      <c r="AF11" s="178">
        <f>IF(AND(U11="Step",V11&lt;0),MAX(Z11,0)-MAX(Y11,0),0)</f>
        <v>0</v>
      </c>
      <c r="AG11" s="178">
        <f>IF(AND(U11="Step",V11&lt;0),MIN(Y11,0)-MIN(Z11,0),0)</f>
        <v>0</v>
      </c>
      <c r="AH11" s="178">
        <f>IF(AND(U11="Step",V11&gt;0),MAX(Z11,0)-MAX(Y11,0),0)</f>
        <v>0</v>
      </c>
      <c r="AI11" s="178">
        <f>IF(AND(U11="Step",V11&gt;0),MIN(Y11,0)-MIN(Z11,0),0)</f>
        <v>0</v>
      </c>
      <c r="AJ11" s="178">
        <f>IF(U11="Total",MAX(Z11,0)-MAX(Y11,0),0)</f>
        <v>0</v>
      </c>
      <c r="AK11" s="178">
        <f>IF(U11="Total",MIN(Y11,0)-MIN(Z11,0),0)</f>
        <v>0</v>
      </c>
    </row>
    <row r="12" spans="1:37" x14ac:dyDescent="0.3">
      <c r="U12" s="23" t="s">
        <v>899</v>
      </c>
      <c r="V12" s="76">
        <f>-INDEX(Historicals!$B$12:$K$12,MATCH(Actuals!$B$5,Historicals!$B$6:$K$6,0))</f>
        <v>-3168</v>
      </c>
      <c r="W12" s="29">
        <f>IF(U12="Total",0,X11)</f>
        <v>4189</v>
      </c>
      <c r="X12" s="29">
        <f>IF(U12="Total",V12,W12+V12)</f>
        <v>1021</v>
      </c>
      <c r="Y12" s="29">
        <f>MIN(W12,X12)</f>
        <v>1021</v>
      </c>
      <c r="Z12" s="29">
        <f>MAX(W12,X12)</f>
        <v>4189</v>
      </c>
      <c r="AA12" s="179" t="str">
        <f>"S&amp;M &amp; partnerships"&amp;CHAR(10)&amp;TEXT(V12,"$#,##0;($#,##0);-")</f>
        <v>S&amp;M &amp; partnerships
($3,168)</v>
      </c>
      <c r="AB12" s="29">
        <f>IF(U12="Rev",0,IF(Y12&gt;0,Y12,0))</f>
        <v>1021</v>
      </c>
      <c r="AC12" s="29">
        <f>IF(Z12&lt;0,Z12,0)</f>
        <v>0</v>
      </c>
      <c r="AD12" s="76">
        <f>IF(U12="Rev",INDEX(Historicals!$B$72:$K$72,MATCH(Actuals!$B$5,Historicals!$B$68:$K$68,0)),0)</f>
        <v>0</v>
      </c>
      <c r="AE12" s="177">
        <f>IF(U12="Rev",INDEX(Historicals!$B$73:$K$73,MATCH(Actuals!$B$5,Historicals!$B$68:$K$68,0)),0)</f>
        <v>0</v>
      </c>
      <c r="AF12" s="178">
        <f>IF(AND(U12="Step",V12&lt;0),MAX(Z12,0)-MAX(Y12,0),0)</f>
        <v>3168</v>
      </c>
      <c r="AG12" s="178">
        <f>IF(AND(U12="Step",V12&lt;0),MIN(Y12,0)-MIN(Z12,0),0)</f>
        <v>0</v>
      </c>
      <c r="AH12" s="178">
        <f>IF(AND(U12="Step",V12&gt;0),MAX(Z12,0)-MAX(Y12,0),0)</f>
        <v>0</v>
      </c>
      <c r="AI12" s="178">
        <f>IF(AND(U12="Step",V12&gt;0),MIN(Y12,0)-MIN(Z12,0),0)</f>
        <v>0</v>
      </c>
      <c r="AJ12" s="178">
        <f>IF(U12="Total",MAX(Z12,0)-MAX(Y12,0),0)</f>
        <v>0</v>
      </c>
      <c r="AK12" s="178">
        <f>IF(U12="Total",MIN(Y12,0)-MIN(Z12,0),0)</f>
        <v>0</v>
      </c>
    </row>
    <row r="13" spans="1:37" x14ac:dyDescent="0.3">
      <c r="U13" s="23" t="s">
        <v>899</v>
      </c>
      <c r="V13" s="76">
        <f>-INDEX(Historicals!$B$13:$K$13,MATCH(Actuals!$B$5,Historicals!$B$6:$K$6,0))</f>
        <v>-1714</v>
      </c>
      <c r="W13" s="29">
        <f>IF(U13="Total",0,X12)</f>
        <v>1021</v>
      </c>
      <c r="X13" s="29">
        <f>IF(U13="Total",V13,W13+V13)</f>
        <v>-693</v>
      </c>
      <c r="Y13" s="29">
        <f>MIN(W13,X13)</f>
        <v>-693</v>
      </c>
      <c r="Z13" s="29">
        <f>MAX(W13,X13)</f>
        <v>1021</v>
      </c>
      <c r="AA13" s="179" t="str">
        <f>"Other op. &amp; admin"&amp;CHAR(10)&amp;TEXT(V13,"$#,##0;($#,##0);-")</f>
        <v>Other op. &amp; admin
($1,714)</v>
      </c>
      <c r="AB13" s="29">
        <f>IF(U13="Rev",0,IF(Y13&gt;0,Y13,0))</f>
        <v>0</v>
      </c>
      <c r="AC13" s="29">
        <f>IF(Z13&lt;0,Z13,0)</f>
        <v>0</v>
      </c>
      <c r="AD13" s="76">
        <f>IF(U13="Rev",INDEX(Historicals!$B$72:$K$72,MATCH(Actuals!$B$5,Historicals!$B$68:$K$68,0)),0)</f>
        <v>0</v>
      </c>
      <c r="AE13" s="177">
        <f>IF(U13="Rev",INDEX(Historicals!$B$73:$K$73,MATCH(Actuals!$B$5,Historicals!$B$68:$K$68,0)),0)</f>
        <v>0</v>
      </c>
      <c r="AF13" s="178">
        <f>IF(AND(U13="Step",V13&lt;0),MAX(Z13,0)-MAX(Y13,0),0)</f>
        <v>1021</v>
      </c>
      <c r="AG13" s="178">
        <f>IF(AND(U13="Step",V13&lt;0),MIN(Y13,0)-MIN(Z13,0),0)</f>
        <v>-693</v>
      </c>
      <c r="AH13" s="178">
        <f>IF(AND(U13="Step",V13&gt;0),MAX(Z13,0)-MAX(Y13,0),0)</f>
        <v>0</v>
      </c>
      <c r="AI13" s="178">
        <f>IF(AND(U13="Step",V13&gt;0),MIN(Y13,0)-MIN(Z13,0),0)</f>
        <v>0</v>
      </c>
      <c r="AJ13" s="178">
        <f>IF(U13="Total",MAX(Z13,0)-MAX(Y13,0),0)</f>
        <v>0</v>
      </c>
      <c r="AK13" s="178">
        <f>IF(U13="Total",MIN(Y13,0)-MIN(Z13,0),0)</f>
        <v>0</v>
      </c>
    </row>
    <row r="14" spans="1:37" x14ac:dyDescent="0.3">
      <c r="U14" s="23" t="s">
        <v>772</v>
      </c>
      <c r="V14" s="76">
        <f>INDEX(Historicals!$B$15:$K$15,MATCH(Actuals!$B$5,Historicals!$B$6:$K$6,0))</f>
        <v>-693</v>
      </c>
      <c r="W14" s="29">
        <f>IF(U14="Total",0,X13)</f>
        <v>0</v>
      </c>
      <c r="X14" s="29">
        <f>IF(U14="Total",V14,W14+V14)</f>
        <v>-693</v>
      </c>
      <c r="Y14" s="29">
        <f>MIN(W14,X14)</f>
        <v>-693</v>
      </c>
      <c r="Z14" s="29">
        <f>MAX(W14,X14)</f>
        <v>0</v>
      </c>
      <c r="AA14" s="179" t="str">
        <f>"Operating income"&amp;CHAR(10)&amp;TEXT(V14,"$#,##0;($#,##0);-")</f>
        <v>Operating income
($693)</v>
      </c>
      <c r="AB14" s="29">
        <f>IF(U14="Rev",0,IF(Y14&gt;0,Y14,0))</f>
        <v>0</v>
      </c>
      <c r="AC14" s="29">
        <f>IF(Z14&lt;0,Z14,0)</f>
        <v>0</v>
      </c>
      <c r="AD14" s="76">
        <f>IF(U14="Rev",INDEX(Historicals!$B$72:$K$72,MATCH(Actuals!$B$5,Historicals!$B$68:$K$68,0)),0)</f>
        <v>0</v>
      </c>
      <c r="AE14" s="177">
        <f>IF(U14="Rev",INDEX(Historicals!$B$73:$K$73,MATCH(Actuals!$B$5,Historicals!$B$68:$K$68,0)),0)</f>
        <v>0</v>
      </c>
      <c r="AF14" s="178">
        <f>IF(AND(U14="Step",V14&lt;0),MAX(Z14,0)-MAX(Y14,0),0)</f>
        <v>0</v>
      </c>
      <c r="AG14" s="178">
        <f>IF(AND(U14="Step",V14&lt;0),MIN(Y14,0)-MIN(Z14,0),0)</f>
        <v>0</v>
      </c>
      <c r="AH14" s="178">
        <f>IF(AND(U14="Step",V14&gt;0),MAX(Z14,0)-MAX(Y14,0),0)</f>
        <v>0</v>
      </c>
      <c r="AI14" s="178">
        <f>IF(AND(U14="Step",V14&gt;0),MIN(Y14,0)-MIN(Z14,0),0)</f>
        <v>0</v>
      </c>
      <c r="AJ14" s="178">
        <f>IF(U14="Total",MAX(Z14,0)-MAX(Y14,0),0)</f>
        <v>0</v>
      </c>
      <c r="AK14" s="178">
        <f>IF(U14="Total",MIN(Y14,0)-MIN(Z14,0),0)</f>
        <v>-693</v>
      </c>
    </row>
    <row r="15" spans="1:37" x14ac:dyDescent="0.3">
      <c r="U15" s="23" t="s">
        <v>899</v>
      </c>
      <c r="V15" s="76">
        <f>INDEX(Historicals!$B$16:$K$16,MATCH(Actuals!$B$5,Historicals!$B$6:$K$6,0))</f>
        <v>1111</v>
      </c>
      <c r="W15" s="29">
        <f>IF(U15="Total",0,X14)</f>
        <v>-693</v>
      </c>
      <c r="X15" s="29">
        <f>IF(U15="Total",V15,W15+V15)</f>
        <v>418</v>
      </c>
      <c r="Y15" s="29">
        <f>MIN(W15,X15)</f>
        <v>-693</v>
      </c>
      <c r="Z15" s="29">
        <f>MAX(W15,X15)</f>
        <v>418</v>
      </c>
      <c r="AA15" s="179" t="str">
        <f>"Interest income"&amp;CHAR(10)&amp;TEXT(V15,"$#,##0;($#,##0);-")</f>
        <v>Interest income
$1,111</v>
      </c>
      <c r="AB15" s="29">
        <f>IF(U15="Rev",0,IF(Y15&gt;0,Y15,0))</f>
        <v>0</v>
      </c>
      <c r="AC15" s="29">
        <f>IF(Z15&lt;0,Z15,0)</f>
        <v>0</v>
      </c>
      <c r="AD15" s="76">
        <f>IF(U15="Rev",INDEX(Historicals!$B$72:$K$72,MATCH(Actuals!$B$5,Historicals!$B$68:$K$68,0)),0)</f>
        <v>0</v>
      </c>
      <c r="AE15" s="177">
        <f>IF(U15="Rev",INDEX(Historicals!$B$73:$K$73,MATCH(Actuals!$B$5,Historicals!$B$68:$K$68,0)),0)</f>
        <v>0</v>
      </c>
      <c r="AF15" s="178">
        <f>IF(AND(U15="Step",V15&lt;0),MAX(Z15,0)-MAX(Y15,0),0)</f>
        <v>0</v>
      </c>
      <c r="AG15" s="178">
        <f>IF(AND(U15="Step",V15&lt;0),MIN(Y15,0)-MIN(Z15,0),0)</f>
        <v>0</v>
      </c>
      <c r="AH15" s="178">
        <f>IF(AND(U15="Step",V15&gt;0),MAX(Z15,0)-MAX(Y15,0),0)</f>
        <v>418</v>
      </c>
      <c r="AI15" s="178">
        <f>IF(AND(U15="Step",V15&gt;0),MIN(Y15,0)-MIN(Z15,0),0)</f>
        <v>-693</v>
      </c>
      <c r="AJ15" s="178">
        <f>IF(U15="Total",MAX(Z15,0)-MAX(Y15,0),0)</f>
        <v>0</v>
      </c>
      <c r="AK15" s="178">
        <f>IF(U15="Total",MIN(Y15,0)-MIN(Z15,0),0)</f>
        <v>0</v>
      </c>
    </row>
    <row r="16" spans="1:37" x14ac:dyDescent="0.3">
      <c r="U16" s="23" t="s">
        <v>899</v>
      </c>
      <c r="V16" s="76">
        <f>INDEX(Historicals!$B$17:$K$17,MATCH(Actuals!$B$5,Historicals!$B$6:$K$6,0))</f>
        <v>-72388</v>
      </c>
      <c r="W16" s="29">
        <f>IF(U16="Total",0,X15)</f>
        <v>418</v>
      </c>
      <c r="X16" s="29">
        <f>IF(U16="Total",V16,W16+V16)</f>
        <v>-71970</v>
      </c>
      <c r="Y16" s="29">
        <f>MIN(W16,X16)</f>
        <v>-71970</v>
      </c>
      <c r="Z16" s="29">
        <f>MAX(W16,X16)</f>
        <v>418</v>
      </c>
      <c r="AA16" s="179" t="str">
        <f>"FV change – notes &amp; SAFEs"&amp;CHAR(10)&amp;TEXT(V16,"$#,##0;($#,##0);-")</f>
        <v>FV change – notes &amp; SAFEs
($72,388)</v>
      </c>
      <c r="AB16" s="29">
        <f>IF(U16="Rev",0,IF(Y16&gt;0,Y16,0))</f>
        <v>0</v>
      </c>
      <c r="AC16" s="29">
        <f>IF(Z16&lt;0,Z16,0)</f>
        <v>0</v>
      </c>
      <c r="AD16" s="76">
        <f>IF(U16="Rev",INDEX(Historicals!$B$72:$K$72,MATCH(Actuals!$B$5,Historicals!$B$68:$K$68,0)),0)</f>
        <v>0</v>
      </c>
      <c r="AE16" s="177">
        <f>IF(U16="Rev",INDEX(Historicals!$B$73:$K$73,MATCH(Actuals!$B$5,Historicals!$B$68:$K$68,0)),0)</f>
        <v>0</v>
      </c>
      <c r="AF16" s="178">
        <f>IF(AND(U16="Step",V16&lt;0),MAX(Z16,0)-MAX(Y16,0),0)</f>
        <v>418</v>
      </c>
      <c r="AG16" s="178">
        <f>IF(AND(U16="Step",V16&lt;0),MIN(Y16,0)-MIN(Z16,0),0)</f>
        <v>-71970</v>
      </c>
      <c r="AH16" s="178">
        <f>IF(AND(U16="Step",V16&gt;0),MAX(Z16,0)-MAX(Y16,0),0)</f>
        <v>0</v>
      </c>
      <c r="AI16" s="178">
        <f>IF(AND(U16="Step",V16&gt;0),MIN(Y16,0)-MIN(Z16,0),0)</f>
        <v>0</v>
      </c>
      <c r="AJ16" s="178">
        <f>IF(U16="Total",MAX(Z16,0)-MAX(Y16,0),0)</f>
        <v>0</v>
      </c>
      <c r="AK16" s="178">
        <f>IF(U16="Total",MIN(Y16,0)-MIN(Z16,0),0)</f>
        <v>0</v>
      </c>
    </row>
    <row r="17" spans="21:37" x14ac:dyDescent="0.3">
      <c r="U17" s="23" t="s">
        <v>899</v>
      </c>
      <c r="V17" s="76">
        <f>INDEX(Historicals!$B$18:$K$18,MATCH(Actuals!$B$5,Historicals!$B$6:$K$6,0))</f>
        <v>-8757</v>
      </c>
      <c r="W17" s="29">
        <f>IF(U17="Total",0,X16)</f>
        <v>-71970</v>
      </c>
      <c r="X17" s="29">
        <f>IF(U17="Total",V17,W17+V17)</f>
        <v>-80727</v>
      </c>
      <c r="Y17" s="29">
        <f>MIN(W17,X17)</f>
        <v>-80727</v>
      </c>
      <c r="Z17" s="29">
        <f>MAX(W17,X17)</f>
        <v>-71970</v>
      </c>
      <c r="AA17" s="179" t="str">
        <f>"Other income (exp.)"&amp;CHAR(10)&amp;TEXT(V17,"$#,##0;($#,##0);-")</f>
        <v>Other income (exp.)
($8,757)</v>
      </c>
      <c r="AB17" s="29">
        <f>IF(U17="Rev",0,IF(Y17&gt;0,Y17,0))</f>
        <v>0</v>
      </c>
      <c r="AC17" s="29">
        <f>IF(Z17&lt;0,Z17,0)</f>
        <v>-71970</v>
      </c>
      <c r="AD17" s="76">
        <f>IF(U17="Rev",INDEX(Historicals!$B$72:$K$72,MATCH(Actuals!$B$5,Historicals!$B$68:$K$68,0)),0)</f>
        <v>0</v>
      </c>
      <c r="AE17" s="177">
        <f>IF(U17="Rev",INDEX(Historicals!$B$73:$K$73,MATCH(Actuals!$B$5,Historicals!$B$68:$K$68,0)),0)</f>
        <v>0</v>
      </c>
      <c r="AF17" s="178">
        <f>IF(AND(U17="Step",V17&lt;0),MAX(Z17,0)-MAX(Y17,0),0)</f>
        <v>0</v>
      </c>
      <c r="AG17" s="178">
        <f>IF(AND(U17="Step",V17&lt;0),MIN(Y17,0)-MIN(Z17,0),0)</f>
        <v>-8757</v>
      </c>
      <c r="AH17" s="178">
        <f>IF(AND(U17="Step",V17&gt;0),MAX(Z17,0)-MAX(Y17,0),0)</f>
        <v>0</v>
      </c>
      <c r="AI17" s="178">
        <f>IF(AND(U17="Step",V17&gt;0),MIN(Y17,0)-MIN(Z17,0),0)</f>
        <v>0</v>
      </c>
      <c r="AJ17" s="178">
        <f>IF(U17="Total",MAX(Z17,0)-MAX(Y17,0),0)</f>
        <v>0</v>
      </c>
      <c r="AK17" s="178">
        <f>IF(U17="Total",MIN(Y17,0)-MIN(Z17,0),0)</f>
        <v>0</v>
      </c>
    </row>
    <row r="18" spans="21:37" x14ac:dyDescent="0.3">
      <c r="U18" s="23" t="s">
        <v>772</v>
      </c>
      <c r="V18" s="76">
        <f>INDEX(Historicals!$B$20:$K$20,MATCH(Actuals!$B$5,Historicals!$B$6:$K$6,0))</f>
        <v>-80727</v>
      </c>
      <c r="W18" s="29">
        <f>IF(U18="Total",0,X17)</f>
        <v>0</v>
      </c>
      <c r="X18" s="29">
        <f>IF(U18="Total",V18,W18+V18)</f>
        <v>-80727</v>
      </c>
      <c r="Y18" s="29">
        <f>MIN(W18,X18)</f>
        <v>-80727</v>
      </c>
      <c r="Z18" s="29">
        <f>MAX(W18,X18)</f>
        <v>0</v>
      </c>
      <c r="AA18" s="179" t="str">
        <f>"Pre-tax loss"&amp;CHAR(10)&amp;TEXT(V18,"$#,##0;($#,##0);-")</f>
        <v>Pre-tax loss
($80,727)</v>
      </c>
      <c r="AB18" s="29">
        <f>IF(U18="Rev",0,IF(Y18&gt;0,Y18,0))</f>
        <v>0</v>
      </c>
      <c r="AC18" s="29">
        <f>IF(Z18&lt;0,Z18,0)</f>
        <v>0</v>
      </c>
      <c r="AD18" s="76">
        <f>IF(U18="Rev",INDEX(Historicals!$B$72:$K$72,MATCH(Actuals!$B$5,Historicals!$B$68:$K$68,0)),0)</f>
        <v>0</v>
      </c>
      <c r="AE18" s="177">
        <f>IF(U18="Rev",INDEX(Historicals!$B$73:$K$73,MATCH(Actuals!$B$5,Historicals!$B$68:$K$68,0)),0)</f>
        <v>0</v>
      </c>
      <c r="AF18" s="178">
        <f>IF(AND(U18="Step",V18&lt;0),MAX(Z18,0)-MAX(Y18,0),0)</f>
        <v>0</v>
      </c>
      <c r="AG18" s="178">
        <f>IF(AND(U18="Step",V18&lt;0),MIN(Y18,0)-MIN(Z18,0),0)</f>
        <v>0</v>
      </c>
      <c r="AH18" s="178">
        <f>IF(AND(U18="Step",V18&gt;0),MAX(Z18,0)-MAX(Y18,0),0)</f>
        <v>0</v>
      </c>
      <c r="AI18" s="178">
        <f>IF(AND(U18="Step",V18&gt;0),MIN(Y18,0)-MIN(Z18,0),0)</f>
        <v>0</v>
      </c>
      <c r="AJ18" s="178">
        <f>IF(U18="Total",MAX(Z18,0)-MAX(Y18,0),0)</f>
        <v>0</v>
      </c>
      <c r="AK18" s="178">
        <f>IF(U18="Total",MIN(Y18,0)-MIN(Z18,0),0)</f>
        <v>-80727</v>
      </c>
    </row>
    <row r="19" spans="21:37" x14ac:dyDescent="0.3">
      <c r="U19" s="23" t="s">
        <v>899</v>
      </c>
      <c r="V19" s="76">
        <f>-INDEX(Historicals!$B$21:$K$21,MATCH(Actuals!$B$5,Historicals!$B$6:$K$6,0))</f>
        <v>-21</v>
      </c>
      <c r="W19" s="29">
        <f>IF(U19="Total",0,X18)</f>
        <v>-80727</v>
      </c>
      <c r="X19" s="29">
        <f>IF(U19="Total",V19,W19+V19)</f>
        <v>-80748</v>
      </c>
      <c r="Y19" s="29">
        <f>MIN(W19,X19)</f>
        <v>-80748</v>
      </c>
      <c r="Z19" s="29">
        <f>MAX(W19,X19)</f>
        <v>-80727</v>
      </c>
      <c r="AA19" s="179" t="str">
        <f>"Tax provision"&amp;CHAR(10)&amp;TEXT(V19,"$#,##0;($#,##0);-")</f>
        <v>Tax provision
($21)</v>
      </c>
      <c r="AB19" s="29">
        <f>IF(U19="Rev",0,IF(Y19&gt;0,Y19,0))</f>
        <v>0</v>
      </c>
      <c r="AC19" s="29">
        <f>IF(Z19&lt;0,Z19,0)</f>
        <v>-80727</v>
      </c>
      <c r="AD19" s="76">
        <f>IF(U19="Rev",INDEX(Historicals!$B$72:$K$72,MATCH(Actuals!$B$5,Historicals!$B$68:$K$68,0)),0)</f>
        <v>0</v>
      </c>
      <c r="AE19" s="177">
        <f>IF(U19="Rev",INDEX(Historicals!$B$73:$K$73,MATCH(Actuals!$B$5,Historicals!$B$68:$K$68,0)),0)</f>
        <v>0</v>
      </c>
      <c r="AF19" s="178">
        <f>IF(AND(U19="Step",V19&lt;0),MAX(Z19,0)-MAX(Y19,0),0)</f>
        <v>0</v>
      </c>
      <c r="AG19" s="178">
        <f>IF(AND(U19="Step",V19&lt;0),MIN(Y19,0)-MIN(Z19,0),0)</f>
        <v>-21</v>
      </c>
      <c r="AH19" s="178">
        <f>IF(AND(U19="Step",V19&gt;0),MAX(Z19,0)-MAX(Y19,0),0)</f>
        <v>0</v>
      </c>
      <c r="AI19" s="178">
        <f>IF(AND(U19="Step",V19&gt;0),MIN(Y19,0)-MIN(Z19,0),0)</f>
        <v>0</v>
      </c>
      <c r="AJ19" s="178">
        <f>IF(U19="Total",MAX(Z19,0)-MAX(Y19,0),0)</f>
        <v>0</v>
      </c>
      <c r="AK19" s="178">
        <f>IF(U19="Total",MIN(Y19,0)-MIN(Z19,0),0)</f>
        <v>0</v>
      </c>
    </row>
    <row r="20" spans="21:37" x14ac:dyDescent="0.3">
      <c r="U20" s="23" t="s">
        <v>772</v>
      </c>
      <c r="V20" s="76">
        <f>INDEX(Historicals!$B$22:$K$22,MATCH(Actuals!$B$5,Historicals!$B$6:$K$6,0))</f>
        <v>-80748</v>
      </c>
      <c r="W20" s="29">
        <f>IF(U20="Total",0,X19)</f>
        <v>0</v>
      </c>
      <c r="X20" s="29">
        <f>IF(U20="Total",V20,W20+V20)</f>
        <v>-80748</v>
      </c>
      <c r="Y20" s="29">
        <f>MIN(W20,X20)</f>
        <v>-80748</v>
      </c>
      <c r="Z20" s="29">
        <f>MAX(W20,X20)</f>
        <v>0</v>
      </c>
      <c r="AA20" s="179" t="str">
        <f>"Net loss"&amp;CHAR(10)&amp;TEXT(V20,"$#,##0;($#,##0);-")</f>
        <v>Net loss
($80,748)</v>
      </c>
      <c r="AB20" s="29">
        <f>IF(U20="Rev",0,IF(Y20&gt;0,Y20,0))</f>
        <v>0</v>
      </c>
      <c r="AC20" s="29">
        <f>IF(Z20&lt;0,Z20,0)</f>
        <v>0</v>
      </c>
      <c r="AD20" s="76">
        <f>IF(U20="Rev",INDEX(Historicals!$B$72:$K$72,MATCH(Actuals!$B$5,Historicals!$B$68:$K$68,0)),0)</f>
        <v>0</v>
      </c>
      <c r="AE20" s="177">
        <f>IF(U20="Rev",INDEX(Historicals!$B$73:$K$73,MATCH(Actuals!$B$5,Historicals!$B$68:$K$68,0)),0)</f>
        <v>0</v>
      </c>
      <c r="AF20" s="178">
        <f>IF(AND(U20="Step",V20&lt;0),MAX(Z20,0)-MAX(Y20,0),0)</f>
        <v>0</v>
      </c>
      <c r="AG20" s="178">
        <f>IF(AND(U20="Step",V20&lt;0),MIN(Y20,0)-MIN(Z20,0),0)</f>
        <v>0</v>
      </c>
      <c r="AH20" s="178">
        <f>IF(AND(U20="Step",V20&gt;0),MAX(Z20,0)-MAX(Y20,0),0)</f>
        <v>0</v>
      </c>
      <c r="AI20" s="178">
        <f>IF(AND(U20="Step",V20&gt;0),MIN(Y20,0)-MIN(Z20,0),0)</f>
        <v>0</v>
      </c>
      <c r="AJ20" s="178">
        <f>IF(U20="Total",MAX(Z20,0)-MAX(Y20,0),0)</f>
        <v>0</v>
      </c>
      <c r="AK20" s="178">
        <f>IF(U20="Total",MIN(Y20,0)-MIN(Z20,0),0)</f>
        <v>-80748</v>
      </c>
    </row>
    <row r="22" spans="21:37" x14ac:dyDescent="0.3">
      <c r="U22" s="5" t="s">
        <v>909</v>
      </c>
      <c r="V22" s="5"/>
      <c r="W22" s="5"/>
      <c r="X22" s="5"/>
      <c r="Y22" s="5"/>
      <c r="Z22" s="5"/>
    </row>
    <row r="23" spans="21:37" x14ac:dyDescent="0.3">
      <c r="U23" s="6" t="s">
        <v>821</v>
      </c>
      <c r="V23" s="6" t="s">
        <v>14</v>
      </c>
      <c r="W23" s="6" t="s">
        <v>822</v>
      </c>
      <c r="X23" s="6" t="s">
        <v>823</v>
      </c>
      <c r="Y23" s="6" t="s">
        <v>824</v>
      </c>
      <c r="Z23" s="6" t="s">
        <v>825</v>
      </c>
    </row>
    <row r="24" spans="21:37" x14ac:dyDescent="0.3">
      <c r="U24" s="40" t="str">
        <f>Historicals!B32</f>
        <v>Q1 2025A</v>
      </c>
      <c r="V24" s="76">
        <f>IF(Historicals!B33="",NA(),Historicals!B33)</f>
        <v>376</v>
      </c>
      <c r="W24" s="60">
        <f>IF(Historicals!B33="",NA(),Historicals!B54/Historicals!B33)</f>
        <v>-2.2074468085106385</v>
      </c>
      <c r="X24" s="60">
        <f>IF(Historicals!B33="",NA(),Historicals!B35/Historicals!B33)</f>
        <v>2.5106382978723403</v>
      </c>
      <c r="Y24" s="60">
        <f>IF(Historicals!B33="",NA(),Historicals!B36/Historicals!B33)</f>
        <v>0.57978723404255317</v>
      </c>
      <c r="Z24" s="60">
        <f>IF(Historicals!B33="",NA(),Historicals!B38/Historicals!B33)</f>
        <v>6.3829787234042548E-2</v>
      </c>
    </row>
    <row r="25" spans="21:37" x14ac:dyDescent="0.3">
      <c r="U25" s="40" t="str">
        <f>Historicals!C32</f>
        <v>Q2 2025A</v>
      </c>
      <c r="V25" s="76">
        <f>IF(Historicals!C33="",NA(),Historicals!C33)</f>
        <v>787</v>
      </c>
      <c r="W25" s="60">
        <f>IF(Historicals!C33="",NA(),Historicals!C54/Historicals!C33)</f>
        <v>-1.2947903430749683</v>
      </c>
      <c r="X25" s="60">
        <f>IF(Historicals!C33="",NA(),Historicals!C35/Historicals!C33)</f>
        <v>1.7662007623888183</v>
      </c>
      <c r="Y25" s="60">
        <f>IF(Historicals!C33="",NA(),Historicals!C36/Historicals!C33)</f>
        <v>0.40660736975857686</v>
      </c>
      <c r="Z25" s="60">
        <f>IF(Historicals!C33="",NA(),Historicals!C38/Historicals!C33)</f>
        <v>0.12198221092757307</v>
      </c>
    </row>
    <row r="26" spans="21:37" x14ac:dyDescent="0.3">
      <c r="U26" s="40" t="str">
        <f>Historicals!D32</f>
        <v>Q3 2025A</v>
      </c>
      <c r="V26" s="76">
        <f>IF(Historicals!D33="",NA(),Historicals!D33)</f>
        <v>1382</v>
      </c>
      <c r="W26" s="60">
        <f>IF(Historicals!D33="",NA(),Historicals!D54/Historicals!D33)</f>
        <v>-0.9290882778581766</v>
      </c>
      <c r="X26" s="60">
        <f>IF(Historicals!D33="",NA(),Historicals!D35/Historicals!D33)</f>
        <v>1.4811866859623735</v>
      </c>
      <c r="Y26" s="60">
        <f>IF(Historicals!D33="",NA(),Historicals!D36/Historicals!D33)</f>
        <v>0.35383502170767006</v>
      </c>
      <c r="Z26" s="60">
        <f>IF(Historicals!D33="",NA(),Historicals!D38/Historicals!D33)</f>
        <v>0.14616497829232997</v>
      </c>
    </row>
    <row r="27" spans="21:37" x14ac:dyDescent="0.3">
      <c r="U27" s="40" t="str">
        <f>Historicals!E32</f>
        <v>Q4 2025A</v>
      </c>
      <c r="V27" s="76">
        <f>IF(Historicals!E33="",NA(),Historicals!E33)</f>
        <v>2040</v>
      </c>
      <c r="W27" s="60">
        <f>IF(Historicals!E33="",NA(),Historicals!E54/Historicals!E33)</f>
        <v>-0.84362745098039216</v>
      </c>
      <c r="X27" s="60">
        <f>IF(Historicals!E33="",NA(),Historicals!E35/Historicals!E33)</f>
        <v>1.4436274509803921</v>
      </c>
      <c r="Y27" s="60">
        <f>IF(Historicals!E33="",NA(),Historicals!E36/Historicals!E33)</f>
        <v>0.39803921568627448</v>
      </c>
      <c r="Z27" s="60">
        <f>IF(Historicals!E33="",NA(),Historicals!E38/Historicals!E33)</f>
        <v>0.12058823529411765</v>
      </c>
    </row>
    <row r="28" spans="21:37" x14ac:dyDescent="0.3">
      <c r="U28" s="40" t="str">
        <f>Historicals!F32</f>
        <v>Q1 2026A</v>
      </c>
      <c r="V28" s="76">
        <f>IF(Historicals!F33="",NA(),Historicals!F33)</f>
        <v>4731</v>
      </c>
      <c r="W28" s="60">
        <f>IF(Historicals!F33="",NA(),Historicals!F54/Historicals!F33)</f>
        <v>-0.13041640245191291</v>
      </c>
      <c r="X28" s="60">
        <f>IF(Historicals!F33="",NA(),Historicals!F35/Historicals!F33)</f>
        <v>0.71591629676601143</v>
      </c>
      <c r="Y28" s="60">
        <f>IF(Historicals!F33="",NA(),Historicals!F36/Historicals!F33)</f>
        <v>0.27372648488691609</v>
      </c>
      <c r="Z28" s="60">
        <f>IF(Historicals!F33="",NA(),Historicals!F38/Historicals!F33)</f>
        <v>0.21834707250052843</v>
      </c>
    </row>
    <row r="29" spans="21:37" x14ac:dyDescent="0.3">
      <c r="U29" s="40" t="str">
        <f>Historicals!G32</f>
        <v>Q2 2026A</v>
      </c>
      <c r="V29" s="76">
        <f>IF(Historicals!G33="",NA(),Historicals!G33)</f>
        <v>11555</v>
      </c>
      <c r="W29" s="60">
        <f>IF(Historicals!G33="",NA(),Historicals!G54/Historicals!G33)</f>
        <v>0.1934227607096495</v>
      </c>
      <c r="X29" s="60">
        <f>IF(Historicals!G33="",NA(),Historicals!G35/Historicals!G33)</f>
        <v>0.48100389441800084</v>
      </c>
      <c r="Y29" s="60">
        <f>IF(Historicals!G33="",NA(),Historicals!G36/Historicals!G33)</f>
        <v>0.16070964950237993</v>
      </c>
      <c r="Z29" s="60">
        <f>IF(Historicals!G33="",NA(),Historicals!G38/Historicals!G33)</f>
        <v>0.18476849848550411</v>
      </c>
    </row>
    <row r="30" spans="21:37" x14ac:dyDescent="0.3">
      <c r="U30" s="40" t="str">
        <f>Historicals!H32</f>
        <v>Q3 2026A</v>
      </c>
      <c r="V30" s="76" t="e">
        <f>IF(Historicals!H33="",NA(),Historicals!H33)</f>
        <v>#N/A</v>
      </c>
      <c r="W30" s="60" t="e">
        <f>IF(Historicals!H33="",NA(),Historicals!H54/Historicals!H33)</f>
        <v>#N/A</v>
      </c>
      <c r="X30" s="60" t="e">
        <f>IF(Historicals!H33="",NA(),Historicals!H35/Historicals!H33)</f>
        <v>#N/A</v>
      </c>
      <c r="Y30" s="60" t="e">
        <f>IF(Historicals!H33="",NA(),Historicals!H36/Historicals!H33)</f>
        <v>#N/A</v>
      </c>
      <c r="Z30" s="60" t="e">
        <f>IF(Historicals!H33="",NA(),Historicals!H38/Historicals!H33)</f>
        <v>#N/A</v>
      </c>
    </row>
    <row r="31" spans="21:37" x14ac:dyDescent="0.3">
      <c r="U31" s="40" t="str">
        <f>Historicals!I32</f>
        <v>Q4 2026A</v>
      </c>
      <c r="V31" s="76" t="e">
        <f>IF(Historicals!I33="",NA(),Historicals!I33)</f>
        <v>#N/A</v>
      </c>
      <c r="W31" s="60" t="e">
        <f>IF(Historicals!I33="",NA(),Historicals!I54/Historicals!I33)</f>
        <v>#N/A</v>
      </c>
      <c r="X31" s="60" t="e">
        <f>IF(Historicals!I33="",NA(),Historicals!I35/Historicals!I33)</f>
        <v>#N/A</v>
      </c>
      <c r="Y31" s="60" t="e">
        <f>IF(Historicals!I33="",NA(),Historicals!I36/Historicals!I33)</f>
        <v>#N/A</v>
      </c>
      <c r="Z31" s="60" t="e">
        <f>IF(Historicals!I33="",NA(),Historicals!I38/Historicals!I33)</f>
        <v>#N/A</v>
      </c>
    </row>
    <row r="32" spans="21:37" x14ac:dyDescent="0.3">
      <c r="U32" s="40" t="str">
        <f>Historicals!J32</f>
        <v>Q1 2027A</v>
      </c>
      <c r="V32" s="76" t="e">
        <f>IF(Historicals!J33="",NA(),Historicals!J33)</f>
        <v>#N/A</v>
      </c>
      <c r="W32" s="60" t="e">
        <f>IF(Historicals!J33="",NA(),Historicals!J54/Historicals!J33)</f>
        <v>#N/A</v>
      </c>
      <c r="X32" s="60" t="e">
        <f>IF(Historicals!J33="",NA(),Historicals!J35/Historicals!J33)</f>
        <v>#N/A</v>
      </c>
      <c r="Y32" s="60" t="e">
        <f>IF(Historicals!J33="",NA(),Historicals!J36/Historicals!J33)</f>
        <v>#N/A</v>
      </c>
      <c r="Z32" s="60" t="e">
        <f>IF(Historicals!J33="",NA(),Historicals!J38/Historicals!J33)</f>
        <v>#N/A</v>
      </c>
    </row>
    <row r="33" spans="21:26" x14ac:dyDescent="0.3">
      <c r="U33" s="40" t="str">
        <f>Historicals!K32</f>
        <v>Q2 2027A</v>
      </c>
      <c r="V33" s="76" t="e">
        <f>IF(Historicals!K33="",NA(),Historicals!K33)</f>
        <v>#N/A</v>
      </c>
      <c r="W33" s="60" t="e">
        <f>IF(Historicals!K33="",NA(),Historicals!K54/Historicals!K33)</f>
        <v>#N/A</v>
      </c>
      <c r="X33" s="60" t="e">
        <f>IF(Historicals!K33="",NA(),Historicals!K35/Historicals!K33)</f>
        <v>#N/A</v>
      </c>
      <c r="Y33" s="60" t="e">
        <f>IF(Historicals!K33="",NA(),Historicals!K36/Historicals!K33)</f>
        <v>#N/A</v>
      </c>
      <c r="Z33" s="60" t="e">
        <f>IF(Historicals!K33="",NA(),Historicals!K38/Historicals!K33)</f>
        <v>#N/A</v>
      </c>
    </row>
    <row r="34" spans="21:26" x14ac:dyDescent="0.3">
      <c r="U34" s="40" t="str">
        <f>Historicals!L32</f>
        <v>Q3 2027A</v>
      </c>
      <c r="V34" s="76" t="e">
        <f>IF(Historicals!L33="",NA(),Historicals!L33)</f>
        <v>#N/A</v>
      </c>
      <c r="W34" s="60" t="e">
        <f>IF(Historicals!L33="",NA(),Historicals!L54/Historicals!L33)</f>
        <v>#N/A</v>
      </c>
      <c r="X34" s="60" t="e">
        <f>IF(Historicals!L33="",NA(),Historicals!L35/Historicals!L33)</f>
        <v>#N/A</v>
      </c>
      <c r="Y34" s="60" t="e">
        <f>IF(Historicals!L33="",NA(),Historicals!L36/Historicals!L33)</f>
        <v>#N/A</v>
      </c>
      <c r="Z34" s="60" t="e">
        <f>IF(Historicals!L33="",NA(),Historicals!L38/Historicals!L33)</f>
        <v>#N/A</v>
      </c>
    </row>
    <row r="35" spans="21:26" x14ac:dyDescent="0.3">
      <c r="U35" s="40" t="str">
        <f>Historicals!M32</f>
        <v>Q4 2027A</v>
      </c>
      <c r="V35" s="76" t="e">
        <f>IF(Historicals!M33="",NA(),Historicals!M33)</f>
        <v>#N/A</v>
      </c>
      <c r="W35" s="60" t="e">
        <f>IF(Historicals!M33="",NA(),Historicals!M54/Historicals!M33)</f>
        <v>#N/A</v>
      </c>
      <c r="X35" s="60" t="e">
        <f>IF(Historicals!M33="",NA(),Historicals!M35/Historicals!M33)</f>
        <v>#N/A</v>
      </c>
      <c r="Y35" s="60" t="e">
        <f>IF(Historicals!M33="",NA(),Historicals!M36/Historicals!M33)</f>
        <v>#N/A</v>
      </c>
      <c r="Z35" s="60" t="e">
        <f>IF(Historicals!M33="",NA(),Historicals!M38/Historicals!M33)</f>
        <v>#N/A</v>
      </c>
    </row>
    <row r="36" spans="21:26" x14ac:dyDescent="0.3">
      <c r="U36" s="156" t="s">
        <v>832</v>
      </c>
      <c r="V36" s="40"/>
      <c r="W36" s="40"/>
      <c r="X36" s="40"/>
      <c r="Y36" s="40"/>
      <c r="Z36" s="40"/>
    </row>
    <row r="37" spans="21:26" x14ac:dyDescent="0.3">
      <c r="U37" s="5" t="s">
        <v>910</v>
      </c>
      <c r="V37" s="5"/>
      <c r="W37" s="5"/>
      <c r="X37" s="5"/>
      <c r="Y37" s="5"/>
      <c r="Z37" s="5"/>
    </row>
    <row r="38" spans="21:26" x14ac:dyDescent="0.3">
      <c r="U38" s="6" t="s">
        <v>826</v>
      </c>
      <c r="V38" s="6" t="s">
        <v>287</v>
      </c>
      <c r="W38" s="6" t="s">
        <v>288</v>
      </c>
      <c r="X38" s="6" t="s">
        <v>289</v>
      </c>
      <c r="Y38" s="6"/>
      <c r="Z38" s="6"/>
    </row>
    <row r="39" spans="21:26" x14ac:dyDescent="0.3">
      <c r="U39" s="40" t="str">
        <f>'DCF Base'!B6</f>
        <v>FY2023A</v>
      </c>
      <c r="V39" s="76">
        <f>'DCF Bear'!B107</f>
        <v>41</v>
      </c>
      <c r="W39" s="76">
        <f>'DCF Base'!B107</f>
        <v>41</v>
      </c>
      <c r="X39" s="76">
        <f>'DCF Bull'!B107</f>
        <v>41</v>
      </c>
      <c r="Y39" s="40"/>
      <c r="Z39" s="40"/>
    </row>
    <row r="40" spans="21:26" x14ac:dyDescent="0.3">
      <c r="U40" s="40" t="str">
        <f>'DCF Base'!C6</f>
        <v>FY2024A</v>
      </c>
      <c r="V40" s="76">
        <f>'DCF Bear'!C107</f>
        <v>386</v>
      </c>
      <c r="W40" s="76">
        <f>'DCF Base'!C107</f>
        <v>386</v>
      </c>
      <c r="X40" s="76">
        <f>'DCF Bull'!C107</f>
        <v>386</v>
      </c>
      <c r="Y40" s="40"/>
      <c r="Z40" s="40"/>
    </row>
    <row r="41" spans="21:26" x14ac:dyDescent="0.3">
      <c r="U41" s="40" t="str">
        <f>'DCF Base'!D6</f>
        <v>FY2025A</v>
      </c>
      <c r="V41" s="76">
        <f>'DCF Bear'!D107</f>
        <v>4585</v>
      </c>
      <c r="W41" s="76">
        <f>'DCF Base'!D107</f>
        <v>4585</v>
      </c>
      <c r="X41" s="76">
        <f>'DCF Bull'!D107</f>
        <v>4585</v>
      </c>
      <c r="Y41" s="40"/>
      <c r="Z41" s="40"/>
    </row>
    <row r="42" spans="21:26" x14ac:dyDescent="0.3">
      <c r="U42" s="40" t="str">
        <f>'DCF Base'!E6</f>
        <v>FY2026E</v>
      </c>
      <c r="V42" s="76">
        <f>'DCF Bear'!E107</f>
        <v>51592.480000000003</v>
      </c>
      <c r="W42" s="76">
        <f>'DCF Base'!E107</f>
        <v>54504.162499999999</v>
      </c>
      <c r="X42" s="76">
        <f>'DCF Bull'!E107</f>
        <v>57560.46</v>
      </c>
      <c r="Y42" s="40"/>
      <c r="Z42" s="40"/>
    </row>
    <row r="43" spans="21:26" x14ac:dyDescent="0.3">
      <c r="U43" s="40" t="str">
        <f>'DCF Base'!F6</f>
        <v>FY2027E</v>
      </c>
      <c r="V43" s="76">
        <f>'DCF Bear'!F107</f>
        <v>86675.366400000014</v>
      </c>
      <c r="W43" s="76">
        <f>'DCF Base'!F107</f>
        <v>113368.658</v>
      </c>
      <c r="X43" s="76">
        <f>'DCF Bull'!F107</f>
        <v>142749.94080000001</v>
      </c>
      <c r="Y43" s="40"/>
      <c r="Z43" s="40"/>
    </row>
    <row r="44" spans="21:26" x14ac:dyDescent="0.3">
      <c r="U44" s="40" t="str">
        <f>'DCF Base'!G6</f>
        <v>FY2028E</v>
      </c>
      <c r="V44" s="76">
        <f>'DCF Bear'!G107</f>
        <v>116186.26496000001</v>
      </c>
      <c r="W44" s="76">
        <f>'DCF Base'!G107</f>
        <v>180299.76955</v>
      </c>
      <c r="X44" s="76">
        <f>'DCF Bull'!G107</f>
        <v>262705.93944000005</v>
      </c>
      <c r="Y44" s="40"/>
      <c r="Z44" s="40"/>
    </row>
    <row r="45" spans="21:26" x14ac:dyDescent="0.3">
      <c r="U45" s="40" t="str">
        <f>'DCF Base'!H6</f>
        <v>FY2029E</v>
      </c>
      <c r="V45" s="76">
        <f>'DCF Bear'!H107</f>
        <v>141317.99381760001</v>
      </c>
      <c r="W45" s="76">
        <f>'DCF Base'!H107</f>
        <v>251743.825755</v>
      </c>
      <c r="X45" s="76">
        <f>'DCF Bull'!H107</f>
        <v>404707.5942600001</v>
      </c>
      <c r="Y45" s="40"/>
      <c r="Z45" s="40"/>
    </row>
    <row r="46" spans="21:26" x14ac:dyDescent="0.3">
      <c r="U46" s="40" t="str">
        <f>'DCF Base'!I6</f>
        <v>FY2030E</v>
      </c>
      <c r="V46" s="76">
        <f>'DCF Bear'!I107</f>
        <v>163671.323168256</v>
      </c>
      <c r="W46" s="76">
        <f>'DCF Base'!I107</f>
        <v>326334.29825280001</v>
      </c>
      <c r="X46" s="76">
        <f>'DCF Bull'!I107</f>
        <v>563606.69771760004</v>
      </c>
      <c r="Y46" s="40"/>
      <c r="Z46" s="40"/>
    </row>
    <row r="47" spans="21:26" x14ac:dyDescent="0.3">
      <c r="U47" s="40" t="str">
        <f>'DCF Base'!J6</f>
        <v>FY2031E</v>
      </c>
      <c r="V47" s="76">
        <f>'DCF Bear'!J107</f>
        <v>183015.69983926276</v>
      </c>
      <c r="W47" s="76">
        <f>'DCF Base'!J107</f>
        <v>403460.70554073603</v>
      </c>
      <c r="X47" s="76">
        <f>'DCF Bull'!J107</f>
        <v>730659.6317453282</v>
      </c>
      <c r="Y47" s="40"/>
      <c r="Z47" s="40"/>
    </row>
    <row r="48" spans="21:26" x14ac:dyDescent="0.3">
      <c r="U48" s="40" t="str">
        <f>'DCF Base'!K6</f>
        <v>FY2032E</v>
      </c>
      <c r="V48" s="76">
        <f>'DCF Bear'!K107</f>
        <v>200988.50768199482</v>
      </c>
      <c r="W48" s="76">
        <f>'DCF Base'!K107</f>
        <v>478661.77395633794</v>
      </c>
      <c r="X48" s="76">
        <f>'DCF Bull'!K107</f>
        <v>903420.72699614032</v>
      </c>
      <c r="Y48" s="40"/>
      <c r="Z48" s="40"/>
    </row>
    <row r="49" spans="21:26" x14ac:dyDescent="0.3">
      <c r="U49" s="40" t="str">
        <f>'DCF Base'!L6</f>
        <v>FY2033E</v>
      </c>
      <c r="V49" s="76">
        <f>'DCF Bear'!L107</f>
        <v>216888.41292960354</v>
      </c>
      <c r="W49" s="76">
        <f>'DCF Base'!L107</f>
        <v>548756.97525433719</v>
      </c>
      <c r="X49" s="76">
        <f>'DCF Bull'!L107</f>
        <v>1071902.0611563656</v>
      </c>
      <c r="Y49" s="40"/>
      <c r="Z49" s="40"/>
    </row>
    <row r="50" spans="21:26" x14ac:dyDescent="0.3">
      <c r="U50" s="40" t="str">
        <f>'DCF Base'!M6</f>
        <v>FY2034E</v>
      </c>
      <c r="V50" s="76">
        <f>'DCF Bear'!M107</f>
        <v>231877.98831520363</v>
      </c>
      <c r="W50" s="76">
        <f>'DCF Base'!M107</f>
        <v>613645.01567542762</v>
      </c>
      <c r="X50" s="76">
        <f>'DCF Bull'!M107</f>
        <v>1230833.7370079313</v>
      </c>
      <c r="Y50" s="40"/>
      <c r="Z50" s="40"/>
    </row>
    <row r="51" spans="21:26" x14ac:dyDescent="0.3">
      <c r="U51" s="40" t="str">
        <f>'DCF Base'!N6</f>
        <v>FY2035E</v>
      </c>
      <c r="V51" s="76">
        <f>'DCF Bear'!N107</f>
        <v>245585.534215878</v>
      </c>
      <c r="W51" s="76">
        <f>'DCF Base'!N107</f>
        <v>673940.81300650316</v>
      </c>
      <c r="X51" s="76">
        <f>'DCF Bull'!N107</f>
        <v>1376420.6434619296</v>
      </c>
      <c r="Y51" s="40"/>
      <c r="Z51" s="40"/>
    </row>
    <row r="52" spans="21:26" x14ac:dyDescent="0.3">
      <c r="U52" s="40" t="str">
        <f>'DCF Base'!O6</f>
        <v>FY2036E</v>
      </c>
      <c r="V52" s="76">
        <f>'DCF Bear'!O107</f>
        <v>257648.39519153096</v>
      </c>
      <c r="W52" s="76">
        <f>'DCF Base'!O107</f>
        <v>730060.89449430665</v>
      </c>
      <c r="X52" s="76">
        <f>'DCF Bull'!O107</f>
        <v>1511717.1202026042</v>
      </c>
      <c r="Y52" s="40"/>
      <c r="Z52" s="40"/>
    </row>
    <row r="53" spans="21:26" x14ac:dyDescent="0.3">
      <c r="U53" s="40" t="str">
        <f>'DCF Base'!P6</f>
        <v>FY2037E</v>
      </c>
      <c r="V53" s="76">
        <f>'DCF Bear'!P107</f>
        <v>269016.41853192757</v>
      </c>
      <c r="W53" s="76">
        <f>'DCF Base'!P107</f>
        <v>780539.03001436777</v>
      </c>
      <c r="X53" s="76">
        <f>'DCF Bull'!P107</f>
        <v>1638934.7301748181</v>
      </c>
      <c r="Y53" s="40"/>
      <c r="Z53" s="40"/>
    </row>
    <row r="54" spans="21:26" x14ac:dyDescent="0.3">
      <c r="U54" s="40" t="str">
        <f>'DCF Base'!Q6</f>
        <v>FY2038E</v>
      </c>
      <c r="V54" s="76">
        <f>'DCF Bear'!Q107</f>
        <v>279541.87465225346</v>
      </c>
      <c r="W54" s="76">
        <f>'DCF Base'!Q107</f>
        <v>826704.54645954445</v>
      </c>
      <c r="X54" s="76">
        <f>'DCF Bull'!Q107</f>
        <v>1752279.5484224474</v>
      </c>
      <c r="Y54" s="40"/>
      <c r="Z54" s="40"/>
    </row>
    <row r="55" spans="21:26" x14ac:dyDescent="0.3">
      <c r="U55" s="40" t="str">
        <f>'DCF Base'!R6</f>
        <v>FY2039E</v>
      </c>
      <c r="V55" s="76">
        <f>'DCF Bear'!R107</f>
        <v>289082.40762239782</v>
      </c>
      <c r="W55" s="76">
        <f>'DCF Base'!R107</f>
        <v>867336.27303227363</v>
      </c>
      <c r="X55" s="76">
        <f>'DCF Bull'!R107</f>
        <v>1855945.9686269867</v>
      </c>
      <c r="Y55" s="40"/>
      <c r="Z55" s="40"/>
    </row>
    <row r="56" spans="21:26" x14ac:dyDescent="0.3">
      <c r="U56" s="40" t="str">
        <f>'DCF Base'!S6</f>
        <v>FY2040E</v>
      </c>
      <c r="V56" s="76">
        <f>'DCF Bear'!S107</f>
        <v>297754.87985106977</v>
      </c>
      <c r="W56" s="76">
        <f>'DCF Base'!S107</f>
        <v>902029.72395356465</v>
      </c>
      <c r="X56" s="76">
        <f>'DCF Bull'!S107</f>
        <v>1948743.2670583359</v>
      </c>
      <c r="Y56" s="40"/>
      <c r="Z56" s="40"/>
    </row>
    <row r="57" spans="21:26" x14ac:dyDescent="0.3">
      <c r="U57" s="40"/>
      <c r="V57" s="40"/>
      <c r="W57" s="40"/>
      <c r="X57" s="40"/>
      <c r="Y57" s="40"/>
      <c r="Z57" s="40"/>
    </row>
    <row r="58" spans="21:26" x14ac:dyDescent="0.3">
      <c r="U58" s="5" t="s">
        <v>911</v>
      </c>
      <c r="V58" s="5"/>
      <c r="W58" s="5"/>
      <c r="X58" s="5"/>
      <c r="Y58" s="5"/>
      <c r="Z58" s="5"/>
    </row>
    <row r="59" spans="21:26" x14ac:dyDescent="0.3">
      <c r="U59" s="6" t="s">
        <v>826</v>
      </c>
      <c r="V59" s="6" t="s">
        <v>827</v>
      </c>
      <c r="W59" s="6" t="s">
        <v>828</v>
      </c>
      <c r="X59" s="6"/>
      <c r="Y59" s="6"/>
      <c r="Z59" s="6"/>
    </row>
    <row r="60" spans="21:26" x14ac:dyDescent="0.3">
      <c r="U60" s="40" t="str">
        <f>'DCF Base'!D6</f>
        <v>FY2025A</v>
      </c>
      <c r="V60" s="79">
        <f>IF('DCF Base'!D80="",NA(),'DCF Base'!D80)</f>
        <v>0.61050000000000004</v>
      </c>
      <c r="W60" s="60" t="e">
        <f>IF('DCF Base'!D86="",NA(),'DCF Base'!D86)</f>
        <v>#N/A</v>
      </c>
      <c r="X60" s="40"/>
      <c r="Y60" s="40"/>
      <c r="Z60" s="40"/>
    </row>
    <row r="61" spans="21:26" x14ac:dyDescent="0.3">
      <c r="U61" s="40" t="str">
        <f>'DCF Base'!E6</f>
        <v>FY2026E</v>
      </c>
      <c r="V61" s="79">
        <f>IF('DCF Base'!E80="",NA(),'DCF Base'!E80)</f>
        <v>2.4981074479166665</v>
      </c>
      <c r="W61" s="60">
        <f>IF('DCF Base'!E86="",NA(),'DCF Base'!E86)</f>
        <v>7.5561499546020913E-2</v>
      </c>
      <c r="X61" s="40"/>
      <c r="Y61" s="40"/>
      <c r="Z61" s="40"/>
    </row>
    <row r="62" spans="21:26" x14ac:dyDescent="0.3">
      <c r="U62" s="40" t="str">
        <f>'DCF Base'!F6</f>
        <v>FY2027E</v>
      </c>
      <c r="V62" s="79">
        <f>IF('DCF Base'!F80="",NA(),'DCF Base'!F80)</f>
        <v>4.8682969634353741</v>
      </c>
      <c r="W62" s="60">
        <f>IF('DCF Base'!F86="",NA(),'DCF Base'!F86)</f>
        <v>0.13614589514023731</v>
      </c>
      <c r="X62" s="40"/>
      <c r="Y62" s="40"/>
      <c r="Z62" s="40"/>
    </row>
    <row r="63" spans="21:26" x14ac:dyDescent="0.3">
      <c r="U63" s="40" t="str">
        <f>'DCF Base'!G6</f>
        <v>FY2028E</v>
      </c>
      <c r="V63" s="79">
        <f>IF('DCF Base'!G80="",NA(),'DCF Base'!G80)</f>
        <v>7.274693950502396</v>
      </c>
      <c r="W63" s="60">
        <f>IF('DCF Base'!G86="",NA(),'DCF Base'!G86)</f>
        <v>0.19034721645161237</v>
      </c>
      <c r="X63" s="40"/>
      <c r="Y63" s="40"/>
      <c r="Z63" s="40"/>
    </row>
    <row r="64" spans="21:26" x14ac:dyDescent="0.3">
      <c r="U64" s="40" t="str">
        <f>'DCF Base'!H6</f>
        <v>FY2029E</v>
      </c>
      <c r="V64" s="79">
        <f>IF('DCF Base'!H80="",NA(),'DCF Base'!H80)</f>
        <v>9.5844669501120041</v>
      </c>
      <c r="W64" s="60">
        <f>IF('DCF Base'!H86="",NA(),'DCF Base'!H86)</f>
        <v>0.22882214580052868</v>
      </c>
      <c r="X64" s="40"/>
      <c r="Y64" s="40"/>
      <c r="Z64" s="40"/>
    </row>
    <row r="65" spans="21:26" x14ac:dyDescent="0.3">
      <c r="U65" s="40" t="str">
        <f>'DCF Base'!I6</f>
        <v>FY2030E</v>
      </c>
      <c r="V65" s="79">
        <f>IF('DCF Base'!I80="",NA(),'DCF Base'!I80)</f>
        <v>11.793368445404937</v>
      </c>
      <c r="W65" s="60">
        <f>IF('DCF Base'!I86="",NA(),'DCF Base'!I86)</f>
        <v>0.26088380993428795</v>
      </c>
      <c r="X65" s="40"/>
      <c r="Y65" s="40"/>
      <c r="Z65" s="40"/>
    </row>
    <row r="66" spans="21:26" x14ac:dyDescent="0.3">
      <c r="U66" s="40" t="str">
        <f>'DCF Base'!J6</f>
        <v>FY2031E</v>
      </c>
      <c r="V66" s="79">
        <f>IF('DCF Base'!J80="",NA(),'DCF Base'!J80)</f>
        <v>14.134329132984208</v>
      </c>
      <c r="W66" s="60">
        <f>IF('DCF Base'!J86="",NA(),'DCF Base'!J86)</f>
        <v>0.28392455908379349</v>
      </c>
      <c r="X66" s="40"/>
      <c r="Y66" s="40"/>
      <c r="Z66" s="40"/>
    </row>
    <row r="67" spans="21:26" x14ac:dyDescent="0.3">
      <c r="U67" s="40" t="str">
        <f>'DCF Base'!K6</f>
        <v>FY2032E</v>
      </c>
      <c r="V67" s="79">
        <f>IF('DCF Base'!K80="",NA(),'DCF Base'!K80)</f>
        <v>16.21040616967683</v>
      </c>
      <c r="W67" s="60">
        <f>IF('DCF Base'!K86="",NA(),'DCF Base'!K86)</f>
        <v>0.29879041468837964</v>
      </c>
      <c r="X67" s="40"/>
      <c r="Y67" s="40"/>
      <c r="Z67" s="40"/>
    </row>
    <row r="68" spans="21:26" x14ac:dyDescent="0.3">
      <c r="U68" s="40" t="str">
        <f>'DCF Base'!L6</f>
        <v>FY2033E</v>
      </c>
      <c r="V68" s="79">
        <f>IF('DCF Base'!L80="",NA(),'DCF Base'!L80)</f>
        <v>18.173377150251628</v>
      </c>
      <c r="W68" s="60">
        <f>IF('DCF Base'!L86="",NA(),'DCF Base'!L86)</f>
        <v>0.30972242128683236</v>
      </c>
      <c r="X68" s="40"/>
      <c r="Y68" s="40"/>
      <c r="Z68" s="40"/>
    </row>
    <row r="69" spans="21:26" x14ac:dyDescent="0.3">
      <c r="U69" s="40" t="str">
        <f>'DCF Base'!M6</f>
        <v>FY2034E</v>
      </c>
      <c r="V69" s="79">
        <f>IF('DCF Base'!M80="",NA(),'DCF Base'!M80)</f>
        <v>20.135865714381953</v>
      </c>
      <c r="W69" s="60">
        <f>IF('DCF Base'!M86="",NA(),'DCF Base'!M86)</f>
        <v>0.31852108523975214</v>
      </c>
      <c r="X69" s="40"/>
      <c r="Y69" s="40"/>
      <c r="Z69" s="40"/>
    </row>
    <row r="70" spans="21:26" x14ac:dyDescent="0.3">
      <c r="U70" s="40" t="str">
        <f>'DCF Base'!N6</f>
        <v>FY2035E</v>
      </c>
      <c r="V70" s="79">
        <f>IF('DCF Base'!N80="",NA(),'DCF Base'!N80)</f>
        <v>21.892130357532587</v>
      </c>
      <c r="W70" s="60">
        <f>IF('DCF Base'!N86="",NA(),'DCF Base'!N86)</f>
        <v>0.32505761388354726</v>
      </c>
      <c r="X70" s="40"/>
      <c r="Y70" s="40"/>
      <c r="Z70" s="40"/>
    </row>
    <row r="71" spans="21:26" x14ac:dyDescent="0.3">
      <c r="U71" s="40" t="str">
        <f>'DCF Base'!O6</f>
        <v>FY2036E</v>
      </c>
      <c r="V71" s="79">
        <f>IF('DCF Base'!O80="",NA(),'DCF Base'!O80)</f>
        <v>23.45451577942729</v>
      </c>
      <c r="W71" s="60">
        <f>IF('DCF Base'!O86="",NA(),'DCF Base'!O86)</f>
        <v>0.33004978224257397</v>
      </c>
      <c r="X71" s="40"/>
      <c r="Y71" s="40"/>
      <c r="Z71" s="40"/>
    </row>
    <row r="72" spans="21:26" x14ac:dyDescent="0.3">
      <c r="U72" s="40" t="str">
        <f>'DCF Base'!P6</f>
        <v>FY2037E</v>
      </c>
      <c r="V72" s="79">
        <f>IF('DCF Base'!P80="",NA(),'DCF Base'!P80)</f>
        <v>25.181822839944012</v>
      </c>
      <c r="W72" s="60">
        <f>IF('DCF Base'!P86="",NA(),'DCF Base'!P86)</f>
        <v>0.3348479061029892</v>
      </c>
      <c r="X72" s="40"/>
      <c r="Y72" s="40"/>
      <c r="Z72" s="40"/>
    </row>
    <row r="73" spans="21:26" x14ac:dyDescent="0.3">
      <c r="U73" s="40" t="str">
        <f>'DCF Base'!Q6</f>
        <v>FY2038E</v>
      </c>
      <c r="V73" s="79">
        <f>IF('DCF Base'!Q80="",NA(),'DCF Base'!Q80)</f>
        <v>27.215598985032688</v>
      </c>
      <c r="W73" s="60">
        <f>IF('DCF Base'!Q86="",NA(),'DCF Base'!Q86)</f>
        <v>0.33971661299579681</v>
      </c>
      <c r="X73" s="40"/>
      <c r="Y73" s="40"/>
      <c r="Z73" s="40"/>
    </row>
    <row r="74" spans="21:26" x14ac:dyDescent="0.3">
      <c r="U74" s="40" t="str">
        <f>'DCF Base'!R6</f>
        <v>FY2039E</v>
      </c>
      <c r="V74" s="79">
        <f>IF('DCF Base'!R80="",NA(),'DCF Base'!R80)</f>
        <v>29.135837005732892</v>
      </c>
      <c r="W74" s="60">
        <f>IF('DCF Base'!R86="",NA(),'DCF Base'!R86)</f>
        <v>0.34368967379097076</v>
      </c>
      <c r="X74" s="40"/>
      <c r="Y74" s="40"/>
      <c r="Z74" s="40"/>
    </row>
    <row r="75" spans="21:26" x14ac:dyDescent="0.3">
      <c r="U75" s="40" t="str">
        <f>'DCF Base'!S6</f>
        <v>FY2040E</v>
      </c>
      <c r="V75" s="79">
        <f>IF('DCF Base'!S80="",NA(),'DCF Base'!S80)</f>
        <v>30.919780004379291</v>
      </c>
      <c r="W75" s="60">
        <f>IF('DCF Base'!S86="",NA(),'DCF Base'!S86)</f>
        <v>0.34693854594264406</v>
      </c>
      <c r="X75" s="40"/>
      <c r="Y75" s="40"/>
      <c r="Z75" s="40"/>
    </row>
    <row r="76" spans="21:26" x14ac:dyDescent="0.3">
      <c r="U76" s="40"/>
      <c r="V76" s="40"/>
      <c r="W76" s="40"/>
      <c r="X76" s="40"/>
      <c r="Y76" s="40"/>
      <c r="Z76" s="40"/>
    </row>
    <row r="77" spans="21:26" x14ac:dyDescent="0.3">
      <c r="U77" s="5" t="s">
        <v>912</v>
      </c>
      <c r="V77" s="5"/>
      <c r="W77" s="5"/>
      <c r="X77" s="5"/>
      <c r="Y77" s="5"/>
      <c r="Z77" s="5"/>
    </row>
    <row r="78" spans="21:26" x14ac:dyDescent="0.3">
      <c r="U78" s="6" t="s">
        <v>829</v>
      </c>
      <c r="V78" s="6" t="s">
        <v>830</v>
      </c>
      <c r="W78" s="6" t="s">
        <v>831</v>
      </c>
      <c r="X78" s="6"/>
      <c r="Y78" s="6"/>
      <c r="Z78" s="6"/>
    </row>
    <row r="79" spans="21:26" x14ac:dyDescent="0.3">
      <c r="U79" s="40" t="str">
        <f>Dashboard!A9</f>
        <v>Bear</v>
      </c>
      <c r="V79" s="82">
        <f>Dashboard!D9</f>
        <v>30.494613767536368</v>
      </c>
      <c r="W79" s="82">
        <f>Dashboard!$B$5</f>
        <v>58.9</v>
      </c>
      <c r="X79" s="40"/>
      <c r="Y79" s="40"/>
      <c r="Z79" s="40"/>
    </row>
    <row r="80" spans="21:26" x14ac:dyDescent="0.3">
      <c r="U80" s="40" t="str">
        <f>Dashboard!A10</f>
        <v>Base</v>
      </c>
      <c r="V80" s="82">
        <f>Dashboard!D10</f>
        <v>111.87893101350788</v>
      </c>
      <c r="W80" s="82">
        <f>Dashboard!$B$5</f>
        <v>58.9</v>
      </c>
      <c r="X80" s="40"/>
      <c r="Y80" s="40"/>
      <c r="Z80" s="40"/>
    </row>
    <row r="81" spans="21:26" x14ac:dyDescent="0.3">
      <c r="U81" s="40" t="str">
        <f>Dashboard!A11</f>
        <v>Bull</v>
      </c>
      <c r="V81" s="82">
        <f>Dashboard!D11</f>
        <v>301.27483534187513</v>
      </c>
      <c r="W81" s="82">
        <f>Dashboard!$B$5</f>
        <v>58.9</v>
      </c>
      <c r="X81" s="40"/>
      <c r="Y81" s="40"/>
      <c r="Z81" s="40"/>
    </row>
    <row r="82" spans="21:26" x14ac:dyDescent="0.3">
      <c r="U82" s="23" t="s">
        <v>629</v>
      </c>
      <c r="V82" s="82">
        <f>Dashboard!D12</f>
        <v>138.8818277841068</v>
      </c>
      <c r="W82" s="82">
        <f>Dashboard!$B$5</f>
        <v>58.9</v>
      </c>
      <c r="X82" s="40"/>
      <c r="Y82" s="40"/>
      <c r="Z82" s="40"/>
    </row>
    <row r="83" spans="21:26" x14ac:dyDescent="0.3">
      <c r="U83" s="40"/>
      <c r="V83" s="40"/>
      <c r="W83" s="40"/>
      <c r="X83" s="40"/>
      <c r="Y83" s="40"/>
      <c r="Z83" s="40"/>
    </row>
    <row r="84" spans="21:26" x14ac:dyDescent="0.3">
      <c r="U84" s="5" t="s">
        <v>913</v>
      </c>
      <c r="V84" s="5"/>
      <c r="W84" s="5"/>
      <c r="X84" s="5"/>
      <c r="Y84" s="5"/>
      <c r="Z84" s="5"/>
    </row>
    <row r="85" spans="21:26" x14ac:dyDescent="0.3">
      <c r="U85" s="6" t="s">
        <v>826</v>
      </c>
      <c r="V85" s="6" t="s">
        <v>287</v>
      </c>
      <c r="W85" s="6" t="s">
        <v>288</v>
      </c>
      <c r="X85" s="6" t="s">
        <v>289</v>
      </c>
      <c r="Y85" s="6"/>
      <c r="Z85" s="6"/>
    </row>
    <row r="86" spans="21:26" x14ac:dyDescent="0.3">
      <c r="U86" s="40" t="str">
        <f>'DCF Base'!E6</f>
        <v>FY2026E</v>
      </c>
      <c r="V86" s="76">
        <f>'DCF Bear'!E140</f>
        <v>-8579.8288124675018</v>
      </c>
      <c r="W86" s="76">
        <f>'DCF Base'!E140</f>
        <v>-7691.9670209974738</v>
      </c>
      <c r="X86" s="76">
        <f>'DCF Bull'!E140</f>
        <v>-5667.239760426155</v>
      </c>
      <c r="Y86" s="40"/>
      <c r="Z86" s="40"/>
    </row>
    <row r="87" spans="21:26" x14ac:dyDescent="0.3">
      <c r="U87" s="40" t="str">
        <f>'DCF Base'!F6</f>
        <v>FY2027E</v>
      </c>
      <c r="V87" s="76">
        <f>'DCF Bear'!F140</f>
        <v>-5831.999675191777</v>
      </c>
      <c r="W87" s="76">
        <f>'DCF Base'!F140</f>
        <v>-4801.4882874661516</v>
      </c>
      <c r="X87" s="76">
        <f>'DCF Bull'!F140</f>
        <v>-3764.3342102693782</v>
      </c>
      <c r="Y87" s="40"/>
      <c r="Z87" s="40"/>
    </row>
    <row r="88" spans="21:26" x14ac:dyDescent="0.3">
      <c r="U88" s="40" t="str">
        <f>'DCF Base'!G6</f>
        <v>FY2028E</v>
      </c>
      <c r="V88" s="76">
        <f>'DCF Bear'!G140</f>
        <v>1686.0751522303872</v>
      </c>
      <c r="W88" s="76">
        <f>'DCF Base'!G140</f>
        <v>3968.371421704509</v>
      </c>
      <c r="X88" s="76">
        <f>'DCF Bull'!G140</f>
        <v>11797.775044329464</v>
      </c>
      <c r="Y88" s="40"/>
      <c r="Z88" s="40"/>
    </row>
    <row r="89" spans="21:26" x14ac:dyDescent="0.3">
      <c r="U89" s="40" t="str">
        <f>'DCF Base'!H6</f>
        <v>FY2029E</v>
      </c>
      <c r="V89" s="76">
        <f>'DCF Bear'!H140</f>
        <v>8232.3310637467312</v>
      </c>
      <c r="W89" s="76">
        <f>'DCF Base'!H140</f>
        <v>25222.107114171264</v>
      </c>
      <c r="X89" s="76">
        <f>'DCF Bull'!H140</f>
        <v>49598.122272654626</v>
      </c>
      <c r="Y89" s="40"/>
      <c r="Z89" s="40"/>
    </row>
    <row r="90" spans="21:26" x14ac:dyDescent="0.3">
      <c r="U90" s="40" t="str">
        <f>'DCF Base'!I6</f>
        <v>FY2030E</v>
      </c>
      <c r="V90" s="76">
        <f>'DCF Bear'!I140</f>
        <v>16819.813811783137</v>
      </c>
      <c r="W90" s="76">
        <f>'DCF Base'!I140</f>
        <v>52034.742212435209</v>
      </c>
      <c r="X90" s="76">
        <f>'DCF Bull'!I140</f>
        <v>111790.21446251376</v>
      </c>
      <c r="Y90" s="40"/>
      <c r="Z90" s="40"/>
    </row>
    <row r="91" spans="21:26" x14ac:dyDescent="0.3">
      <c r="U91" s="40" t="str">
        <f>'DCF Base'!J6</f>
        <v>FY2031E</v>
      </c>
      <c r="V91" s="76">
        <f>'DCF Bear'!J140</f>
        <v>25313.995559532726</v>
      </c>
      <c r="W91" s="76">
        <f>'DCF Base'!J140</f>
        <v>82563.558011573463</v>
      </c>
      <c r="X91" s="76">
        <f>'DCF Bull'!J140</f>
        <v>187317.87659830213</v>
      </c>
      <c r="Y91" s="40"/>
      <c r="Z91" s="40"/>
    </row>
    <row r="92" spans="21:26" x14ac:dyDescent="0.3">
      <c r="U92" s="40" t="str">
        <f>'DCF Base'!K6</f>
        <v>FY2032E</v>
      </c>
      <c r="V92" s="76">
        <f>'DCF Bear'!K140</f>
        <v>33958.856764502576</v>
      </c>
      <c r="W92" s="76">
        <f>'DCF Base'!K140</f>
        <v>119235.30074386888</v>
      </c>
      <c r="X92" s="76">
        <f>'DCF Bull'!K140</f>
        <v>277574.16166260728</v>
      </c>
      <c r="Y92" s="40"/>
      <c r="Z92" s="40"/>
    </row>
    <row r="93" spans="21:26" x14ac:dyDescent="0.3">
      <c r="U93" s="40" t="str">
        <f>'DCF Base'!L6</f>
        <v>FY2033E</v>
      </c>
      <c r="V93" s="76">
        <f>'DCF Bear'!L140</f>
        <v>40576.589205674645</v>
      </c>
      <c r="W93" s="76">
        <f>'DCF Base'!L140</f>
        <v>151244.08306370876</v>
      </c>
      <c r="X93" s="76">
        <f>'DCF Bull'!L140</f>
        <v>362979.63425935793</v>
      </c>
      <c r="Y93" s="40"/>
      <c r="Z93" s="40"/>
    </row>
    <row r="94" spans="21:26" x14ac:dyDescent="0.3">
      <c r="U94" s="40" t="str">
        <f>'DCF Base'!M6</f>
        <v>FY2034E</v>
      </c>
      <c r="V94" s="76">
        <f>'DCF Bear'!M140</f>
        <v>46821.190671617784</v>
      </c>
      <c r="W94" s="76">
        <f>'DCF Base'!M140</f>
        <v>182081.35582852067</v>
      </c>
      <c r="X94" s="76">
        <f>'DCF Bull'!M140</f>
        <v>447992.5448685743</v>
      </c>
      <c r="Y94" s="40"/>
      <c r="Z94" s="40"/>
    </row>
    <row r="95" spans="21:26" x14ac:dyDescent="0.3">
      <c r="U95" s="40" t="str">
        <f>'DCF Base'!N6</f>
        <v>FY2035E</v>
      </c>
      <c r="V95" s="76">
        <f>'DCF Bear'!N140</f>
        <v>51905.308861719437</v>
      </c>
      <c r="W95" s="76">
        <f>'DCF Base'!N140</f>
        <v>209799.88835480314</v>
      </c>
      <c r="X95" s="76">
        <f>'DCF Bull'!N140</f>
        <v>527791.18514407601</v>
      </c>
      <c r="Y95" s="40"/>
      <c r="Z95" s="40"/>
    </row>
    <row r="96" spans="21:26" x14ac:dyDescent="0.3">
      <c r="U96" s="40" t="str">
        <f>'DCF Base'!O6</f>
        <v>FY2036E</v>
      </c>
      <c r="V96" s="76">
        <f>'DCF Bear'!O140</f>
        <v>56633.796416161691</v>
      </c>
      <c r="W96" s="76">
        <f>'DCF Base'!O140</f>
        <v>236217.67092995925</v>
      </c>
      <c r="X96" s="76">
        <f>'DCF Bull'!O140</f>
        <v>602989.92622758565</v>
      </c>
      <c r="Y96" s="40"/>
      <c r="Z96" s="40"/>
    </row>
    <row r="97" spans="1:26" x14ac:dyDescent="0.3">
      <c r="U97" s="40" t="str">
        <f>'DCF Base'!P6</f>
        <v>FY2037E</v>
      </c>
      <c r="V97" s="76">
        <f>'DCF Bear'!P140</f>
        <v>59096.442587187121</v>
      </c>
      <c r="W97" s="76">
        <f>'DCF Base'!P140</f>
        <v>254738.01727941615</v>
      </c>
      <c r="X97" s="76">
        <f>'DCF Bull'!P140</f>
        <v>659173.95588958939</v>
      </c>
      <c r="Y97" s="40"/>
      <c r="Z97" s="40"/>
    </row>
    <row r="98" spans="1:26" x14ac:dyDescent="0.3">
      <c r="U98" s="40" t="str">
        <f>'DCF Base'!Q6</f>
        <v>FY2038E</v>
      </c>
      <c r="V98" s="76">
        <f>'DCF Bear'!Q140</f>
        <v>60194.551955052601</v>
      </c>
      <c r="W98" s="76">
        <f>'DCF Base'!Q140</f>
        <v>267580.94179455569</v>
      </c>
      <c r="X98" s="76">
        <f>'DCF Bull'!Q140</f>
        <v>703261.15376719751</v>
      </c>
      <c r="Y98" s="40"/>
      <c r="Z98" s="40"/>
    </row>
    <row r="99" spans="1:26" x14ac:dyDescent="0.3">
      <c r="U99" s="40" t="str">
        <f>'DCF Base'!R6</f>
        <v>FY2039E</v>
      </c>
      <c r="V99" s="76">
        <f>'DCF Bear'!R140</f>
        <v>61699.701893813777</v>
      </c>
      <c r="W99" s="76">
        <f>'DCF Base'!R140</f>
        <v>281882.37906316231</v>
      </c>
      <c r="X99" s="76">
        <f>'DCF Bull'!R140</f>
        <v>750322.44993083412</v>
      </c>
      <c r="Y99" s="40"/>
      <c r="Z99" s="40"/>
    </row>
    <row r="100" spans="1:26" x14ac:dyDescent="0.3">
      <c r="A100" s="183" t="s">
        <v>932</v>
      </c>
      <c r="U100" s="40" t="str">
        <f>'DCF Base'!S6</f>
        <v>FY2040E</v>
      </c>
      <c r="V100" s="76">
        <f>'DCF Bear'!S140</f>
        <v>62798.404400548206</v>
      </c>
      <c r="W100" s="76">
        <f>'DCF Base'!S140</f>
        <v>293683.20253334782</v>
      </c>
      <c r="X100" s="76">
        <f>'DCF Bull'!S140</f>
        <v>792501.33439688338</v>
      </c>
      <c r="Y100" s="40"/>
      <c r="Z100" s="40"/>
    </row>
    <row r="102" spans="1:26" x14ac:dyDescent="0.3">
      <c r="A102"/>
    </row>
  </sheetData>
  <sheetProtection algorithmName="SHA-512" hashValue="wA/kjhTvLR9dZb6puS9uh0Tbx8HWhxpeNQ1f3ZSfkSkUlGqA0QHIxE6QCPbBCuCafrTjpFQecDHuNPNbgo0kfw==" saltValue="F8GAuBwt17FWh/mDPYmMPg==" spinCount="100000" sheet="1" objects="1" scenarios="1" sort="0" autoFilter="0"/>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161E-E542-407D-9613-C8C68C84AF81}">
  <sheetPr>
    <tabColor rgb="FFD97757"/>
  </sheetPr>
  <dimension ref="A1:Z203"/>
  <sheetViews>
    <sheetView showGridLines="0" workbookViewId="0">
      <pane xSplit="1" ySplit="6" topLeftCell="B7" activePane="bottomRight" state="frozen"/>
      <selection pane="topRight" activeCell="B1" sqref="B1"/>
      <selection pane="bottomLeft" activeCell="A7" sqref="A7"/>
      <selection pane="bottomRight" activeCell="C22" sqref="C22"/>
    </sheetView>
  </sheetViews>
  <sheetFormatPr defaultRowHeight="14.4" x14ac:dyDescent="0.3"/>
  <cols>
    <col min="1" max="1" width="61.109375" style="1" customWidth="1"/>
    <col min="2" max="19" width="14.77734375" style="1" customWidth="1"/>
    <col min="20" max="26" width="8.88671875" style="1"/>
  </cols>
  <sheetData>
    <row r="1" spans="1:19" ht="30" customHeight="1" x14ac:dyDescent="0.4">
      <c r="A1" s="2" t="s">
        <v>873</v>
      </c>
    </row>
    <row r="2" spans="1:19" x14ac:dyDescent="0.3">
      <c r="A2" s="24" t="s">
        <v>700</v>
      </c>
    </row>
    <row r="3" spans="1:19" x14ac:dyDescent="0.3">
      <c r="A3" s="4" t="s">
        <v>451</v>
      </c>
    </row>
    <row r="5" spans="1:19" ht="18" customHeight="1" x14ac:dyDescent="0.35">
      <c r="A5" s="10" t="s">
        <v>452</v>
      </c>
      <c r="B5" s="100">
        <v>2</v>
      </c>
      <c r="C5" s="10" t="str">
        <f>CHOOSE(B5,"◀  BEAR","◀  BASE","◀  BULL")</f>
        <v>◀  BASE</v>
      </c>
      <c r="D5" s="24" t="s">
        <v>453</v>
      </c>
    </row>
    <row r="6" spans="1:19" x14ac:dyDescent="0.3">
      <c r="A6" s="6" t="s">
        <v>454</v>
      </c>
      <c r="B6" s="7" t="s">
        <v>4</v>
      </c>
      <c r="C6" s="7" t="s">
        <v>5</v>
      </c>
      <c r="D6" s="7" t="s">
        <v>6</v>
      </c>
      <c r="E6" s="7" t="s">
        <v>192</v>
      </c>
      <c r="F6" s="7" t="s">
        <v>193</v>
      </c>
      <c r="G6" s="7" t="s">
        <v>194</v>
      </c>
      <c r="H6" s="7" t="s">
        <v>195</v>
      </c>
      <c r="I6" s="7" t="s">
        <v>196</v>
      </c>
      <c r="J6" s="7" t="s">
        <v>197</v>
      </c>
      <c r="K6" s="7" t="s">
        <v>198</v>
      </c>
      <c r="L6" s="7" t="s">
        <v>199</v>
      </c>
      <c r="M6" s="7" t="s">
        <v>200</v>
      </c>
      <c r="N6" s="7" t="s">
        <v>201</v>
      </c>
      <c r="O6" s="7" t="s">
        <v>202</v>
      </c>
      <c r="P6" s="7" t="s">
        <v>203</v>
      </c>
      <c r="Q6" s="7" t="s">
        <v>204</v>
      </c>
      <c r="R6" s="7" t="s">
        <v>205</v>
      </c>
      <c r="S6" s="7" t="s">
        <v>206</v>
      </c>
    </row>
    <row r="7" spans="1:19" ht="3" customHeight="1" x14ac:dyDescent="0.3"/>
    <row r="8" spans="1:19" x14ac:dyDescent="0.3">
      <c r="A8" s="5" t="s">
        <v>329</v>
      </c>
      <c r="B8" s="5"/>
      <c r="C8" s="5"/>
      <c r="D8" s="5"/>
      <c r="E8" s="5"/>
      <c r="F8" s="5"/>
      <c r="G8" s="5"/>
      <c r="H8" s="5"/>
      <c r="I8" s="5"/>
      <c r="J8" s="5"/>
      <c r="K8" s="5"/>
      <c r="L8" s="5"/>
      <c r="M8" s="5"/>
      <c r="N8" s="5"/>
      <c r="O8" s="5"/>
      <c r="P8" s="5"/>
      <c r="Q8" s="5"/>
      <c r="R8" s="5"/>
      <c r="S8" s="5"/>
    </row>
    <row r="9" spans="1:19" x14ac:dyDescent="0.3">
      <c r="A9" s="1" t="s">
        <v>330</v>
      </c>
      <c r="B9" s="75"/>
      <c r="C9" s="75"/>
      <c r="D9" s="75"/>
      <c r="E9" s="41">
        <f>CHOOSE($B$5,Drivers!E23,Drivers!E54,Drivers!E85)</f>
        <v>0.47</v>
      </c>
      <c r="F9" s="75"/>
      <c r="G9" s="75"/>
      <c r="H9" s="75"/>
      <c r="I9" s="75"/>
      <c r="J9" s="75"/>
      <c r="K9" s="75"/>
      <c r="L9" s="75"/>
      <c r="M9" s="75"/>
      <c r="N9" s="75"/>
      <c r="O9" s="75"/>
      <c r="P9" s="75"/>
      <c r="Q9" s="75"/>
      <c r="R9" s="75"/>
      <c r="S9" s="75"/>
    </row>
    <row r="10" spans="1:19" x14ac:dyDescent="0.3">
      <c r="A10" s="1" t="s">
        <v>210</v>
      </c>
      <c r="B10" s="75"/>
      <c r="C10" s="75"/>
      <c r="D10" s="75"/>
      <c r="E10" s="41">
        <f>CHOOSE($B$5,Drivers!E24,Drivers!E55,Drivers!E86)</f>
        <v>0.25</v>
      </c>
      <c r="F10" s="75"/>
      <c r="G10" s="75"/>
      <c r="H10" s="75"/>
      <c r="I10" s="75"/>
      <c r="J10" s="75"/>
      <c r="K10" s="75"/>
      <c r="L10" s="75"/>
      <c r="M10" s="75"/>
      <c r="N10" s="75"/>
      <c r="O10" s="75"/>
      <c r="P10" s="75"/>
      <c r="Q10" s="75"/>
      <c r="R10" s="75"/>
      <c r="S10" s="75"/>
    </row>
    <row r="11" spans="1:19" x14ac:dyDescent="0.3">
      <c r="A11" s="1" t="s">
        <v>331</v>
      </c>
      <c r="B11" s="75"/>
      <c r="C11" s="75"/>
      <c r="D11" s="75"/>
      <c r="E11" s="41">
        <f>CHOOSE($B$5,Drivers!E25,Drivers!E56,Drivers!E87)</f>
        <v>0.2</v>
      </c>
      <c r="F11" s="75"/>
      <c r="G11" s="75"/>
      <c r="H11" s="75"/>
      <c r="I11" s="75"/>
      <c r="J11" s="75"/>
      <c r="K11" s="75"/>
      <c r="L11" s="75"/>
      <c r="M11" s="75"/>
      <c r="N11" s="75"/>
      <c r="O11" s="75"/>
      <c r="P11" s="75"/>
      <c r="Q11" s="75"/>
      <c r="R11" s="75"/>
      <c r="S11" s="75"/>
    </row>
    <row r="12" spans="1:19" x14ac:dyDescent="0.3">
      <c r="A12" s="1" t="s">
        <v>332</v>
      </c>
      <c r="B12" s="75"/>
      <c r="C12" s="75"/>
      <c r="D12" s="75"/>
      <c r="E12" s="75"/>
      <c r="F12" s="41">
        <f>CHOOSE($B$5,Drivers!F26,Drivers!F57,Drivers!F88)</f>
        <v>1.1000000000000001</v>
      </c>
      <c r="G12" s="41">
        <f>CHOOSE($B$5,Drivers!G26,Drivers!G57,Drivers!G88)</f>
        <v>0.6</v>
      </c>
      <c r="H12" s="41">
        <f>CHOOSE($B$5,Drivers!H26,Drivers!H57,Drivers!H88)</f>
        <v>0.4</v>
      </c>
      <c r="I12" s="41">
        <f>CHOOSE($B$5,Drivers!I26,Drivers!I57,Drivers!I88)</f>
        <v>0.3</v>
      </c>
      <c r="J12" s="41">
        <f>CHOOSE($B$5,Drivers!J26,Drivers!J57,Drivers!J88)</f>
        <v>0.24</v>
      </c>
      <c r="K12" s="41">
        <f>CHOOSE($B$5,Drivers!K26,Drivers!K57,Drivers!K88)</f>
        <v>0.19</v>
      </c>
      <c r="L12" s="41">
        <f>CHOOSE($B$5,Drivers!L26,Drivers!L57,Drivers!L88)</f>
        <v>0.15</v>
      </c>
      <c r="M12" s="41">
        <f>CHOOSE($B$5,Drivers!M26,Drivers!M57,Drivers!M88)</f>
        <v>0.12</v>
      </c>
      <c r="N12" s="41">
        <f>CHOOSE($B$5,Drivers!N26,Drivers!N57,Drivers!N88)</f>
        <v>0.1</v>
      </c>
      <c r="O12" s="41">
        <f>CHOOSE($B$5,Drivers!O26,Drivers!O57,Drivers!O88)</f>
        <v>8.5000000000000006E-2</v>
      </c>
      <c r="P12" s="41">
        <f>CHOOSE($B$5,Drivers!P26,Drivers!P57,Drivers!P88)</f>
        <v>7.0000000000000007E-2</v>
      </c>
      <c r="Q12" s="41">
        <f>CHOOSE($B$5,Drivers!Q26,Drivers!Q57,Drivers!Q88)</f>
        <v>0.06</v>
      </c>
      <c r="R12" s="41">
        <f>CHOOSE($B$5,Drivers!R26,Drivers!R57,Drivers!R88)</f>
        <v>0.05</v>
      </c>
      <c r="S12" s="41">
        <f>CHOOSE($B$5,Drivers!S26,Drivers!S57,Drivers!S88)</f>
        <v>0.04</v>
      </c>
    </row>
    <row r="13" spans="1:19" x14ac:dyDescent="0.3">
      <c r="A13" s="1" t="s">
        <v>333</v>
      </c>
      <c r="B13" s="75"/>
      <c r="C13" s="75"/>
      <c r="D13" s="75"/>
      <c r="E13" s="75"/>
      <c r="F13" s="41">
        <f>CHOOSE($B$5,Drivers!F27,Drivers!F58,Drivers!F89)</f>
        <v>1</v>
      </c>
      <c r="G13" s="41">
        <f>CHOOSE($B$5,Drivers!G27,Drivers!G58,Drivers!G89)</f>
        <v>0.55000000000000004</v>
      </c>
      <c r="H13" s="41">
        <f>CHOOSE($B$5,Drivers!H27,Drivers!H58,Drivers!H89)</f>
        <v>0.38</v>
      </c>
      <c r="I13" s="41">
        <f>CHOOSE($B$5,Drivers!I27,Drivers!I58,Drivers!I89)</f>
        <v>0.28000000000000003</v>
      </c>
      <c r="J13" s="41">
        <f>CHOOSE($B$5,Drivers!J27,Drivers!J58,Drivers!J89)</f>
        <v>0.22</v>
      </c>
      <c r="K13" s="41">
        <f>CHOOSE($B$5,Drivers!K27,Drivers!K58,Drivers!K89)</f>
        <v>0.17</v>
      </c>
      <c r="L13" s="41">
        <f>CHOOSE($B$5,Drivers!L27,Drivers!L58,Drivers!L89)</f>
        <v>0.13</v>
      </c>
      <c r="M13" s="41">
        <f>CHOOSE($B$5,Drivers!M27,Drivers!M58,Drivers!M89)</f>
        <v>0.11</v>
      </c>
      <c r="N13" s="41">
        <f>CHOOSE($B$5,Drivers!N27,Drivers!N58,Drivers!N89)</f>
        <v>0.09</v>
      </c>
      <c r="O13" s="41">
        <f>CHOOSE($B$5,Drivers!O27,Drivers!O58,Drivers!O89)</f>
        <v>7.4999999999999997E-2</v>
      </c>
      <c r="P13" s="41">
        <f>CHOOSE($B$5,Drivers!P27,Drivers!P58,Drivers!P89)</f>
        <v>6.5000000000000002E-2</v>
      </c>
      <c r="Q13" s="41">
        <f>CHOOSE($B$5,Drivers!Q27,Drivers!Q58,Drivers!Q89)</f>
        <v>5.5E-2</v>
      </c>
      <c r="R13" s="41">
        <f>CHOOSE($B$5,Drivers!R27,Drivers!R58,Drivers!R89)</f>
        <v>4.4999999999999998E-2</v>
      </c>
      <c r="S13" s="41">
        <f>CHOOSE($B$5,Drivers!S27,Drivers!S58,Drivers!S89)</f>
        <v>0.04</v>
      </c>
    </row>
    <row r="14" spans="1:19" x14ac:dyDescent="0.3">
      <c r="A14" s="1" t="s">
        <v>180</v>
      </c>
      <c r="B14" s="75"/>
      <c r="C14" s="75"/>
      <c r="D14" s="75"/>
      <c r="E14" s="41">
        <f>CHOOSE($B$5,Drivers!E28,Drivers!E59,Drivers!E90)</f>
        <v>0.28000000000000003</v>
      </c>
      <c r="F14" s="41">
        <f>CHOOSE($B$5,Drivers!F28,Drivers!F59,Drivers!F90)</f>
        <v>0.28999999999999998</v>
      </c>
      <c r="G14" s="41">
        <f>CHOOSE($B$5,Drivers!G28,Drivers!G59,Drivers!G90)</f>
        <v>0.3</v>
      </c>
      <c r="H14" s="41">
        <f>CHOOSE($B$5,Drivers!H28,Drivers!H59,Drivers!H90)</f>
        <v>0.31</v>
      </c>
      <c r="I14" s="41">
        <f>CHOOSE($B$5,Drivers!I28,Drivers!I59,Drivers!I90)</f>
        <v>0.32</v>
      </c>
      <c r="J14" s="41">
        <f>CHOOSE($B$5,Drivers!J28,Drivers!J59,Drivers!J90)</f>
        <v>0.33</v>
      </c>
      <c r="K14" s="41">
        <f>CHOOSE($B$5,Drivers!K28,Drivers!K59,Drivers!K90)</f>
        <v>0.34</v>
      </c>
      <c r="L14" s="41">
        <f>CHOOSE($B$5,Drivers!L28,Drivers!L59,Drivers!L90)</f>
        <v>0.35</v>
      </c>
      <c r="M14" s="41">
        <f>CHOOSE($B$5,Drivers!M28,Drivers!M59,Drivers!M90)</f>
        <v>0.36</v>
      </c>
      <c r="N14" s="41">
        <f>CHOOSE($B$5,Drivers!N28,Drivers!N59,Drivers!N90)</f>
        <v>0.37</v>
      </c>
      <c r="O14" s="41">
        <f>CHOOSE($B$5,Drivers!O28,Drivers!O59,Drivers!O90)</f>
        <v>0.38</v>
      </c>
      <c r="P14" s="41">
        <f>CHOOSE($B$5,Drivers!P28,Drivers!P59,Drivers!P90)</f>
        <v>0.39</v>
      </c>
      <c r="Q14" s="41">
        <f>CHOOSE($B$5,Drivers!Q28,Drivers!Q59,Drivers!Q90)</f>
        <v>0.4</v>
      </c>
      <c r="R14" s="41">
        <f>CHOOSE($B$5,Drivers!R28,Drivers!R59,Drivers!R90)</f>
        <v>0.4</v>
      </c>
      <c r="S14" s="41">
        <f>CHOOSE($B$5,Drivers!S28,Drivers!S59,Drivers!S90)</f>
        <v>0.4</v>
      </c>
    </row>
    <row r="15" spans="1:19" x14ac:dyDescent="0.3">
      <c r="A15" s="1" t="s">
        <v>334</v>
      </c>
      <c r="B15" s="75"/>
      <c r="C15" s="75"/>
      <c r="D15" s="75"/>
      <c r="E15" s="41">
        <f>CHOOSE($B$5,Drivers!E29,Drivers!E60,Drivers!E91)</f>
        <v>9</v>
      </c>
      <c r="F15" s="41">
        <f>CHOOSE($B$5,Drivers!F29,Drivers!F60,Drivers!F91)</f>
        <v>1</v>
      </c>
      <c r="G15" s="41">
        <f>CHOOSE($B$5,Drivers!G29,Drivers!G60,Drivers!G91)</f>
        <v>0.6</v>
      </c>
      <c r="H15" s="41">
        <f>CHOOSE($B$5,Drivers!H29,Drivers!H60,Drivers!H91)</f>
        <v>0.4</v>
      </c>
      <c r="I15" s="41">
        <f>CHOOSE($B$5,Drivers!I29,Drivers!I60,Drivers!I91)</f>
        <v>0.3</v>
      </c>
      <c r="J15" s="41">
        <f>CHOOSE($B$5,Drivers!J29,Drivers!J60,Drivers!J91)</f>
        <v>0.22</v>
      </c>
      <c r="K15" s="41">
        <f>CHOOSE($B$5,Drivers!K29,Drivers!K60,Drivers!K91)</f>
        <v>0.17</v>
      </c>
      <c r="L15" s="41">
        <f>CHOOSE($B$5,Drivers!L29,Drivers!L60,Drivers!L91)</f>
        <v>0.13</v>
      </c>
      <c r="M15" s="41">
        <f>CHOOSE($B$5,Drivers!M29,Drivers!M60,Drivers!M91)</f>
        <v>0.1</v>
      </c>
      <c r="N15" s="41">
        <f>CHOOSE($B$5,Drivers!N29,Drivers!N60,Drivers!N91)</f>
        <v>0.08</v>
      </c>
      <c r="O15" s="41">
        <f>CHOOSE($B$5,Drivers!O29,Drivers!O60,Drivers!O91)</f>
        <v>0.06</v>
      </c>
      <c r="P15" s="41">
        <f>CHOOSE($B$5,Drivers!P29,Drivers!P60,Drivers!P91)</f>
        <v>0.05</v>
      </c>
      <c r="Q15" s="41">
        <f>CHOOSE($B$5,Drivers!Q29,Drivers!Q60,Drivers!Q91)</f>
        <v>0.04</v>
      </c>
      <c r="R15" s="41">
        <f>CHOOSE($B$5,Drivers!R29,Drivers!R60,Drivers!R91)</f>
        <v>3.5000000000000003E-2</v>
      </c>
      <c r="S15" s="41">
        <f>CHOOSE($B$5,Drivers!S29,Drivers!S60,Drivers!S91)</f>
        <v>0.03</v>
      </c>
    </row>
    <row r="16" spans="1:19" x14ac:dyDescent="0.3">
      <c r="A16" s="1" t="s">
        <v>335</v>
      </c>
      <c r="B16" s="75"/>
      <c r="C16" s="75"/>
      <c r="D16" s="75"/>
      <c r="E16" s="41">
        <f>CHOOSE($B$5,Drivers!E30,Drivers!E61,Drivers!E92)</f>
        <v>0.78</v>
      </c>
      <c r="F16" s="41">
        <f>CHOOSE($B$5,Drivers!F30,Drivers!F61,Drivers!F92)</f>
        <v>0.79</v>
      </c>
      <c r="G16" s="41">
        <f>CHOOSE($B$5,Drivers!G30,Drivers!G61,Drivers!G92)</f>
        <v>0.8</v>
      </c>
      <c r="H16" s="41">
        <f>CHOOSE($B$5,Drivers!H30,Drivers!H61,Drivers!H92)</f>
        <v>0.81</v>
      </c>
      <c r="I16" s="41">
        <f>CHOOSE($B$5,Drivers!I30,Drivers!I61,Drivers!I92)</f>
        <v>0.82</v>
      </c>
      <c r="J16" s="41">
        <f>CHOOSE($B$5,Drivers!J30,Drivers!J61,Drivers!J92)</f>
        <v>0.83</v>
      </c>
      <c r="K16" s="41">
        <f>CHOOSE($B$5,Drivers!K30,Drivers!K61,Drivers!K92)</f>
        <v>0.84</v>
      </c>
      <c r="L16" s="41">
        <f>CHOOSE($B$5,Drivers!L30,Drivers!L61,Drivers!L92)</f>
        <v>0.85</v>
      </c>
      <c r="M16" s="41">
        <f>CHOOSE($B$5,Drivers!M30,Drivers!M61,Drivers!M92)</f>
        <v>0.85</v>
      </c>
      <c r="N16" s="41">
        <f>CHOOSE($B$5,Drivers!N30,Drivers!N61,Drivers!N92)</f>
        <v>0.85</v>
      </c>
      <c r="O16" s="41">
        <f>CHOOSE($B$5,Drivers!O30,Drivers!O61,Drivers!O92)</f>
        <v>0.85</v>
      </c>
      <c r="P16" s="41">
        <f>CHOOSE($B$5,Drivers!P30,Drivers!P61,Drivers!P92)</f>
        <v>0.85</v>
      </c>
      <c r="Q16" s="41">
        <f>CHOOSE($B$5,Drivers!Q30,Drivers!Q61,Drivers!Q92)</f>
        <v>0.85</v>
      </c>
      <c r="R16" s="41">
        <f>CHOOSE($B$5,Drivers!R30,Drivers!R61,Drivers!R92)</f>
        <v>0.85</v>
      </c>
      <c r="S16" s="41">
        <f>CHOOSE($B$5,Drivers!S30,Drivers!S61,Drivers!S92)</f>
        <v>0.85</v>
      </c>
    </row>
    <row r="17" spans="1:19" x14ac:dyDescent="0.3">
      <c r="A17" s="1" t="s">
        <v>218</v>
      </c>
      <c r="B17" s="75"/>
      <c r="C17" s="75"/>
      <c r="D17" s="75"/>
      <c r="E17" s="41">
        <f>CHOOSE($B$5,Drivers!E31,Drivers!E62,Drivers!E93)</f>
        <v>0.3</v>
      </c>
      <c r="F17" s="41">
        <f>CHOOSE($B$5,Drivers!F31,Drivers!F62,Drivers!F93)</f>
        <v>0.28499999999999998</v>
      </c>
      <c r="G17" s="41">
        <f>CHOOSE($B$5,Drivers!G31,Drivers!G62,Drivers!G93)</f>
        <v>0.27</v>
      </c>
      <c r="H17" s="41">
        <f>CHOOSE($B$5,Drivers!H31,Drivers!H62,Drivers!H93)</f>
        <v>0.255</v>
      </c>
      <c r="I17" s="41">
        <f>CHOOSE($B$5,Drivers!I31,Drivers!I62,Drivers!I93)</f>
        <v>0.24</v>
      </c>
      <c r="J17" s="41">
        <f>CHOOSE($B$5,Drivers!J31,Drivers!J62,Drivers!J93)</f>
        <v>0.23</v>
      </c>
      <c r="K17" s="41">
        <f>CHOOSE($B$5,Drivers!K31,Drivers!K62,Drivers!K93)</f>
        <v>0.22</v>
      </c>
      <c r="L17" s="41">
        <f>CHOOSE($B$5,Drivers!L31,Drivers!L62,Drivers!L93)</f>
        <v>0.215</v>
      </c>
      <c r="M17" s="41">
        <f>CHOOSE($B$5,Drivers!M31,Drivers!M62,Drivers!M93)</f>
        <v>0.21</v>
      </c>
      <c r="N17" s="41">
        <f>CHOOSE($B$5,Drivers!N31,Drivers!N62,Drivers!N93)</f>
        <v>0.20499999999999999</v>
      </c>
      <c r="O17" s="41">
        <f>CHOOSE($B$5,Drivers!O31,Drivers!O62,Drivers!O93)</f>
        <v>0.2</v>
      </c>
      <c r="P17" s="41">
        <f>CHOOSE($B$5,Drivers!P31,Drivers!P62,Drivers!P93)</f>
        <v>0.2</v>
      </c>
      <c r="Q17" s="41">
        <f>CHOOSE($B$5,Drivers!Q31,Drivers!Q62,Drivers!Q93)</f>
        <v>0.2</v>
      </c>
      <c r="R17" s="41">
        <f>CHOOSE($B$5,Drivers!R31,Drivers!R62,Drivers!R93)</f>
        <v>0.2</v>
      </c>
      <c r="S17" s="41">
        <f>CHOOSE($B$5,Drivers!S31,Drivers!S62,Drivers!S93)</f>
        <v>0.2</v>
      </c>
    </row>
    <row r="18" spans="1:19" x14ac:dyDescent="0.3">
      <c r="A18" s="1" t="s">
        <v>219</v>
      </c>
      <c r="B18" s="75"/>
      <c r="C18" s="75"/>
      <c r="D18" s="75"/>
      <c r="E18" s="41">
        <f>CHOOSE($B$5,Drivers!E32,Drivers!E63,Drivers!E94)</f>
        <v>0.25</v>
      </c>
      <c r="F18" s="41">
        <f>CHOOSE($B$5,Drivers!F32,Drivers!F63,Drivers!F94)</f>
        <v>0.22</v>
      </c>
      <c r="G18" s="41">
        <f>CHOOSE($B$5,Drivers!G32,Drivers!G63,Drivers!G94)</f>
        <v>0.19500000000000001</v>
      </c>
      <c r="H18" s="41">
        <f>CHOOSE($B$5,Drivers!H32,Drivers!H63,Drivers!H94)</f>
        <v>0.17499999999999999</v>
      </c>
      <c r="I18" s="41">
        <f>CHOOSE($B$5,Drivers!I32,Drivers!I63,Drivers!I94)</f>
        <v>0.16</v>
      </c>
      <c r="J18" s="41">
        <f>CHOOSE($B$5,Drivers!J32,Drivers!J63,Drivers!J94)</f>
        <v>0.15</v>
      </c>
      <c r="K18" s="41">
        <f>CHOOSE($B$5,Drivers!K32,Drivers!K63,Drivers!K94)</f>
        <v>0.14000000000000001</v>
      </c>
      <c r="L18" s="41">
        <f>CHOOSE($B$5,Drivers!L32,Drivers!L63,Drivers!L94)</f>
        <v>0.13</v>
      </c>
      <c r="M18" s="41">
        <f>CHOOSE($B$5,Drivers!M32,Drivers!M63,Drivers!M94)</f>
        <v>0.125</v>
      </c>
      <c r="N18" s="41">
        <f>CHOOSE($B$5,Drivers!N32,Drivers!N63,Drivers!N94)</f>
        <v>0.12</v>
      </c>
      <c r="O18" s="41">
        <f>CHOOSE($B$5,Drivers!O32,Drivers!O63,Drivers!O94)</f>
        <v>0.115</v>
      </c>
      <c r="P18" s="41">
        <f>CHOOSE($B$5,Drivers!P32,Drivers!P63,Drivers!P94)</f>
        <v>0.11</v>
      </c>
      <c r="Q18" s="41">
        <f>CHOOSE($B$5,Drivers!Q32,Drivers!Q63,Drivers!Q94)</f>
        <v>0.11</v>
      </c>
      <c r="R18" s="41">
        <f>CHOOSE($B$5,Drivers!R32,Drivers!R63,Drivers!R94)</f>
        <v>0.11</v>
      </c>
      <c r="S18" s="41">
        <f>CHOOSE($B$5,Drivers!S32,Drivers!S63,Drivers!S94)</f>
        <v>0.11</v>
      </c>
    </row>
    <row r="19" spans="1:19" x14ac:dyDescent="0.3">
      <c r="A19" s="1" t="s">
        <v>336</v>
      </c>
      <c r="B19" s="9"/>
      <c r="C19" s="9"/>
      <c r="D19" s="9"/>
      <c r="E19" s="77">
        <f>CHOOSE($B$5,Drivers!E33,Drivers!E64,Drivers!E95)</f>
        <v>12000</v>
      </c>
      <c r="F19" s="77">
        <f>CHOOSE($B$5,Drivers!F33,Drivers!F64,Drivers!F95)</f>
        <v>11760</v>
      </c>
      <c r="G19" s="77">
        <f>CHOOSE($B$5,Drivers!G33,Drivers!G64,Drivers!G95)</f>
        <v>11524.8</v>
      </c>
      <c r="H19" s="77">
        <f>CHOOSE($B$5,Drivers!H33,Drivers!H64,Drivers!H95)</f>
        <v>11294.3</v>
      </c>
      <c r="I19" s="77">
        <f>CHOOSE($B$5,Drivers!I33,Drivers!I64,Drivers!I95)</f>
        <v>11068.4</v>
      </c>
      <c r="J19" s="77">
        <f>CHOOSE($B$5,Drivers!J33,Drivers!J64,Drivers!J95)</f>
        <v>10847</v>
      </c>
      <c r="K19" s="77">
        <f>CHOOSE($B$5,Drivers!K33,Drivers!K64,Drivers!K95)</f>
        <v>10630.1</v>
      </c>
      <c r="L19" s="77">
        <f>CHOOSE($B$5,Drivers!L33,Drivers!L64,Drivers!L95)</f>
        <v>10417.5</v>
      </c>
      <c r="M19" s="77">
        <f>CHOOSE($B$5,Drivers!M33,Drivers!M64,Drivers!M95)</f>
        <v>10209.200000000001</v>
      </c>
      <c r="N19" s="77">
        <f>CHOOSE($B$5,Drivers!N33,Drivers!N64,Drivers!N95)</f>
        <v>10005</v>
      </c>
      <c r="O19" s="77">
        <f>CHOOSE($B$5,Drivers!O33,Drivers!O64,Drivers!O95)</f>
        <v>9804.9</v>
      </c>
      <c r="P19" s="77">
        <f>CHOOSE($B$5,Drivers!P33,Drivers!P64,Drivers!P95)</f>
        <v>9608.7999999999993</v>
      </c>
      <c r="Q19" s="77">
        <f>CHOOSE($B$5,Drivers!Q33,Drivers!Q64,Drivers!Q95)</f>
        <v>9416.6</v>
      </c>
      <c r="R19" s="77">
        <f>CHOOSE($B$5,Drivers!R33,Drivers!R64,Drivers!R95)</f>
        <v>9228.2999999999993</v>
      </c>
      <c r="S19" s="77">
        <f>CHOOSE($B$5,Drivers!S33,Drivers!S64,Drivers!S95)</f>
        <v>9043.7000000000007</v>
      </c>
    </row>
    <row r="20" spans="1:19" x14ac:dyDescent="0.3">
      <c r="A20" s="1" t="s">
        <v>337</v>
      </c>
      <c r="B20" s="22"/>
      <c r="C20" s="22"/>
      <c r="D20" s="22"/>
      <c r="E20" s="78">
        <f>CHOOSE($B$5,Drivers!E34,Drivers!E65,Drivers!E96)</f>
        <v>650</v>
      </c>
      <c r="F20" s="78">
        <f>CHOOSE($B$5,Drivers!F34,Drivers!F65,Drivers!F96)</f>
        <v>630.5</v>
      </c>
      <c r="G20" s="78">
        <f>CHOOSE($B$5,Drivers!G34,Drivers!G65,Drivers!G96)</f>
        <v>611.6</v>
      </c>
      <c r="H20" s="78">
        <f>CHOOSE($B$5,Drivers!H34,Drivers!H65,Drivers!H96)</f>
        <v>593.20000000000005</v>
      </c>
      <c r="I20" s="78">
        <f>CHOOSE($B$5,Drivers!I34,Drivers!I65,Drivers!I96)</f>
        <v>575.4</v>
      </c>
      <c r="J20" s="78">
        <f>CHOOSE($B$5,Drivers!J34,Drivers!J65,Drivers!J96)</f>
        <v>558.20000000000005</v>
      </c>
      <c r="K20" s="78">
        <f>CHOOSE($B$5,Drivers!K34,Drivers!K65,Drivers!K96)</f>
        <v>541.4</v>
      </c>
      <c r="L20" s="78">
        <f>CHOOSE($B$5,Drivers!L34,Drivers!L65,Drivers!L96)</f>
        <v>525.20000000000005</v>
      </c>
      <c r="M20" s="78">
        <f>CHOOSE($B$5,Drivers!M34,Drivers!M65,Drivers!M96)</f>
        <v>509.4</v>
      </c>
      <c r="N20" s="78">
        <f>CHOOSE($B$5,Drivers!N34,Drivers!N65,Drivers!N96)</f>
        <v>494.2</v>
      </c>
      <c r="O20" s="78">
        <f>CHOOSE($B$5,Drivers!O34,Drivers!O65,Drivers!O96)</f>
        <v>479.3</v>
      </c>
      <c r="P20" s="78">
        <f>CHOOSE($B$5,Drivers!P34,Drivers!P65,Drivers!P96)</f>
        <v>464.9</v>
      </c>
      <c r="Q20" s="78">
        <f>CHOOSE($B$5,Drivers!Q34,Drivers!Q65,Drivers!Q96)</f>
        <v>451</v>
      </c>
      <c r="R20" s="78">
        <f>CHOOSE($B$5,Drivers!R34,Drivers!R65,Drivers!R96)</f>
        <v>437.5</v>
      </c>
      <c r="S20" s="78">
        <f>CHOOSE($B$5,Drivers!S34,Drivers!S65,Drivers!S96)</f>
        <v>424.3</v>
      </c>
    </row>
    <row r="21" spans="1:19" x14ac:dyDescent="0.3">
      <c r="A21" s="1" t="s">
        <v>338</v>
      </c>
      <c r="B21" s="75"/>
      <c r="C21" s="75"/>
      <c r="D21" s="75"/>
      <c r="E21" s="41">
        <f>CHOOSE($B$5,Drivers!E35,Drivers!E66,Drivers!E97)</f>
        <v>0.1</v>
      </c>
      <c r="F21" s="41">
        <f>CHOOSE($B$5,Drivers!F35,Drivers!F66,Drivers!F97)</f>
        <v>0.2</v>
      </c>
      <c r="G21" s="41">
        <f>CHOOSE($B$5,Drivers!G35,Drivers!G66,Drivers!G97)</f>
        <v>0.3</v>
      </c>
      <c r="H21" s="41">
        <f>CHOOSE($B$5,Drivers!H35,Drivers!H66,Drivers!H97)</f>
        <v>0.35</v>
      </c>
      <c r="I21" s="41">
        <f>CHOOSE($B$5,Drivers!I35,Drivers!I66,Drivers!I97)</f>
        <v>0.4</v>
      </c>
      <c r="J21" s="41">
        <f>CHOOSE($B$5,Drivers!J35,Drivers!J66,Drivers!J97)</f>
        <v>0.4</v>
      </c>
      <c r="K21" s="41">
        <f>CHOOSE($B$5,Drivers!K35,Drivers!K66,Drivers!K97)</f>
        <v>0.4</v>
      </c>
      <c r="L21" s="41">
        <f>CHOOSE($B$5,Drivers!L35,Drivers!L66,Drivers!L97)</f>
        <v>0.4</v>
      </c>
      <c r="M21" s="41">
        <f>CHOOSE($B$5,Drivers!M35,Drivers!M66,Drivers!M97)</f>
        <v>0.4</v>
      </c>
      <c r="N21" s="41">
        <f>CHOOSE($B$5,Drivers!N35,Drivers!N66,Drivers!N97)</f>
        <v>0.4</v>
      </c>
      <c r="O21" s="41">
        <f>CHOOSE($B$5,Drivers!O35,Drivers!O66,Drivers!O97)</f>
        <v>0.4</v>
      </c>
      <c r="P21" s="41">
        <f>CHOOSE($B$5,Drivers!P35,Drivers!P66,Drivers!P97)</f>
        <v>0.4</v>
      </c>
      <c r="Q21" s="41">
        <f>CHOOSE($B$5,Drivers!Q35,Drivers!Q66,Drivers!Q97)</f>
        <v>0.4</v>
      </c>
      <c r="R21" s="41">
        <f>CHOOSE($B$5,Drivers!R35,Drivers!R66,Drivers!R97)</f>
        <v>0.4</v>
      </c>
      <c r="S21" s="41">
        <f>CHOOSE($B$5,Drivers!S35,Drivers!S66,Drivers!S97)</f>
        <v>0.4</v>
      </c>
    </row>
    <row r="22" spans="1:19" x14ac:dyDescent="0.3">
      <c r="A22" s="1" t="s">
        <v>339</v>
      </c>
      <c r="B22" s="9"/>
      <c r="C22" s="9"/>
      <c r="D22" s="9"/>
      <c r="E22" s="77">
        <f>CHOOSE($B$5,Drivers!E36,Drivers!E67,Drivers!E98)</f>
        <v>40000</v>
      </c>
      <c r="F22" s="77">
        <f>CHOOSE($B$5,Drivers!F36,Drivers!F67,Drivers!F98)</f>
        <v>38400</v>
      </c>
      <c r="G22" s="77">
        <f>CHOOSE($B$5,Drivers!G36,Drivers!G67,Drivers!G98)</f>
        <v>36864</v>
      </c>
      <c r="H22" s="77">
        <f>CHOOSE($B$5,Drivers!H36,Drivers!H67,Drivers!H98)</f>
        <v>35389.4</v>
      </c>
      <c r="I22" s="77">
        <f>CHOOSE($B$5,Drivers!I36,Drivers!I67,Drivers!I98)</f>
        <v>33973.9</v>
      </c>
      <c r="J22" s="77">
        <f>CHOOSE($B$5,Drivers!J36,Drivers!J67,Drivers!J98)</f>
        <v>32614.9</v>
      </c>
      <c r="K22" s="77">
        <f>CHOOSE($B$5,Drivers!K36,Drivers!K67,Drivers!K98)</f>
        <v>31310.3</v>
      </c>
      <c r="L22" s="77">
        <f>CHOOSE($B$5,Drivers!L36,Drivers!L67,Drivers!L98)</f>
        <v>30057.9</v>
      </c>
      <c r="M22" s="77">
        <f>CHOOSE($B$5,Drivers!M36,Drivers!M67,Drivers!M98)</f>
        <v>28855.599999999999</v>
      </c>
      <c r="N22" s="77">
        <f>CHOOSE($B$5,Drivers!N36,Drivers!N67,Drivers!N98)</f>
        <v>27701.4</v>
      </c>
      <c r="O22" s="77">
        <f>CHOOSE($B$5,Drivers!O36,Drivers!O67,Drivers!O98)</f>
        <v>26593.3</v>
      </c>
      <c r="P22" s="77">
        <f>CHOOSE($B$5,Drivers!P36,Drivers!P67,Drivers!P98)</f>
        <v>25529.599999999999</v>
      </c>
      <c r="Q22" s="77">
        <f>CHOOSE($B$5,Drivers!Q36,Drivers!Q67,Drivers!Q98)</f>
        <v>24508.400000000001</v>
      </c>
      <c r="R22" s="77">
        <f>CHOOSE($B$5,Drivers!R36,Drivers!R67,Drivers!R98)</f>
        <v>23528.1</v>
      </c>
      <c r="S22" s="77">
        <f>CHOOSE($B$5,Drivers!S36,Drivers!S67,Drivers!S98)</f>
        <v>22586.9</v>
      </c>
    </row>
    <row r="23" spans="1:19" x14ac:dyDescent="0.3">
      <c r="A23" s="1" t="s">
        <v>340</v>
      </c>
      <c r="B23" s="9"/>
      <c r="C23" s="9"/>
      <c r="D23" s="9"/>
      <c r="E23" s="77">
        <f>CHOOSE($B$5,Drivers!E37,Drivers!E68,Drivers!E99)</f>
        <v>2000</v>
      </c>
      <c r="F23" s="77">
        <f>CHOOSE($B$5,Drivers!F37,Drivers!F68,Drivers!F99)</f>
        <v>2040</v>
      </c>
      <c r="G23" s="77">
        <f>CHOOSE($B$5,Drivers!G37,Drivers!G68,Drivers!G99)</f>
        <v>2080.8000000000002</v>
      </c>
      <c r="H23" s="77">
        <f>CHOOSE($B$5,Drivers!H37,Drivers!H68,Drivers!H99)</f>
        <v>2122.4</v>
      </c>
      <c r="I23" s="77">
        <f>CHOOSE($B$5,Drivers!I37,Drivers!I68,Drivers!I99)</f>
        <v>2164.9</v>
      </c>
      <c r="J23" s="77">
        <f>CHOOSE($B$5,Drivers!J37,Drivers!J68,Drivers!J99)</f>
        <v>2208.1999999999998</v>
      </c>
      <c r="K23" s="77">
        <f>CHOOSE($B$5,Drivers!K37,Drivers!K68,Drivers!K99)</f>
        <v>2252.3000000000002</v>
      </c>
      <c r="L23" s="77">
        <f>CHOOSE($B$5,Drivers!L37,Drivers!L68,Drivers!L99)</f>
        <v>2297.4</v>
      </c>
      <c r="M23" s="77">
        <f>CHOOSE($B$5,Drivers!M37,Drivers!M68,Drivers!M99)</f>
        <v>2343.3000000000002</v>
      </c>
      <c r="N23" s="77">
        <f>CHOOSE($B$5,Drivers!N37,Drivers!N68,Drivers!N99)</f>
        <v>2390.1999999999998</v>
      </c>
      <c r="O23" s="77">
        <f>CHOOSE($B$5,Drivers!O37,Drivers!O68,Drivers!O99)</f>
        <v>2438</v>
      </c>
      <c r="P23" s="77">
        <f>CHOOSE($B$5,Drivers!P37,Drivers!P68,Drivers!P99)</f>
        <v>2486.6999999999998</v>
      </c>
      <c r="Q23" s="77">
        <f>CHOOSE($B$5,Drivers!Q37,Drivers!Q68,Drivers!Q99)</f>
        <v>2536.5</v>
      </c>
      <c r="R23" s="77">
        <f>CHOOSE($B$5,Drivers!R37,Drivers!R68,Drivers!R99)</f>
        <v>2587.1999999999998</v>
      </c>
      <c r="S23" s="77">
        <f>CHOOSE($B$5,Drivers!S37,Drivers!S68,Drivers!S99)</f>
        <v>2639</v>
      </c>
    </row>
    <row r="24" spans="1:19" x14ac:dyDescent="0.3">
      <c r="A24" s="1" t="s">
        <v>341</v>
      </c>
      <c r="B24" s="80"/>
      <c r="C24" s="80"/>
      <c r="D24" s="80"/>
      <c r="E24" s="81">
        <f>CHOOSE($B$5,Drivers!E38,Drivers!E69,Drivers!E100)</f>
        <v>5</v>
      </c>
      <c r="F24" s="80"/>
      <c r="G24" s="80"/>
      <c r="H24" s="80"/>
      <c r="I24" s="80"/>
      <c r="J24" s="80"/>
      <c r="K24" s="80"/>
      <c r="L24" s="80"/>
      <c r="M24" s="80"/>
      <c r="N24" s="80"/>
      <c r="O24" s="80"/>
      <c r="P24" s="80"/>
      <c r="Q24" s="80"/>
      <c r="R24" s="80"/>
      <c r="S24" s="80"/>
    </row>
    <row r="25" spans="1:19" x14ac:dyDescent="0.3">
      <c r="A25" s="1" t="s">
        <v>231</v>
      </c>
      <c r="B25" s="22"/>
      <c r="C25" s="22"/>
      <c r="D25" s="22"/>
      <c r="E25" s="78">
        <f>CHOOSE($B$5,Drivers!E39,Drivers!E70,Drivers!E101)</f>
        <v>6000</v>
      </c>
      <c r="F25" s="22"/>
      <c r="G25" s="22"/>
      <c r="H25" s="22"/>
      <c r="I25" s="22"/>
      <c r="J25" s="22"/>
      <c r="K25" s="22"/>
      <c r="L25" s="22"/>
      <c r="M25" s="22"/>
      <c r="N25" s="22"/>
      <c r="O25" s="22"/>
      <c r="P25" s="22"/>
      <c r="Q25" s="22"/>
      <c r="R25" s="22"/>
      <c r="S25" s="22"/>
    </row>
    <row r="26" spans="1:19" x14ac:dyDescent="0.3">
      <c r="A26" s="1" t="s">
        <v>342</v>
      </c>
      <c r="B26" s="75"/>
      <c r="C26" s="75"/>
      <c r="D26" s="75"/>
      <c r="E26" s="75"/>
      <c r="F26" s="41">
        <f>CHOOSE($B$5,Drivers!F40,Drivers!F71,Drivers!F102)</f>
        <v>0.35</v>
      </c>
      <c r="G26" s="41">
        <f>CHOOSE($B$5,Drivers!G40,Drivers!G71,Drivers!G102)</f>
        <v>0.28000000000000003</v>
      </c>
      <c r="H26" s="41">
        <f>CHOOSE($B$5,Drivers!H40,Drivers!H71,Drivers!H102)</f>
        <v>0.22</v>
      </c>
      <c r="I26" s="41">
        <f>CHOOSE($B$5,Drivers!I40,Drivers!I71,Drivers!I102)</f>
        <v>0.18</v>
      </c>
      <c r="J26" s="41">
        <f>CHOOSE($B$5,Drivers!J40,Drivers!J71,Drivers!J102)</f>
        <v>0.15</v>
      </c>
      <c r="K26" s="41">
        <f>CHOOSE($B$5,Drivers!K40,Drivers!K71,Drivers!K102)</f>
        <v>0.12</v>
      </c>
      <c r="L26" s="41">
        <f>CHOOSE($B$5,Drivers!L40,Drivers!L71,Drivers!L102)</f>
        <v>0.1</v>
      </c>
      <c r="M26" s="41">
        <f>CHOOSE($B$5,Drivers!M40,Drivers!M71,Drivers!M102)</f>
        <v>0.08</v>
      </c>
      <c r="N26" s="41">
        <f>CHOOSE($B$5,Drivers!N40,Drivers!N71,Drivers!N102)</f>
        <v>7.0000000000000007E-2</v>
      </c>
      <c r="O26" s="41">
        <f>CHOOSE($B$5,Drivers!O40,Drivers!O71,Drivers!O102)</f>
        <v>0.06</v>
      </c>
      <c r="P26" s="41">
        <f>CHOOSE($B$5,Drivers!P40,Drivers!P71,Drivers!P102)</f>
        <v>0.05</v>
      </c>
      <c r="Q26" s="41">
        <f>CHOOSE($B$5,Drivers!Q40,Drivers!Q71,Drivers!Q102)</f>
        <v>4.4999999999999998E-2</v>
      </c>
      <c r="R26" s="41">
        <f>CHOOSE($B$5,Drivers!R40,Drivers!R71,Drivers!R102)</f>
        <v>0.04</v>
      </c>
      <c r="S26" s="41">
        <f>CHOOSE($B$5,Drivers!S40,Drivers!S71,Drivers!S102)</f>
        <v>3.5000000000000003E-2</v>
      </c>
    </row>
    <row r="27" spans="1:19" x14ac:dyDescent="0.3">
      <c r="A27" s="1" t="s">
        <v>343</v>
      </c>
      <c r="B27" s="69"/>
      <c r="C27" s="69"/>
      <c r="D27" s="69"/>
      <c r="E27" s="70">
        <f>CHOOSE($B$5,Drivers!E41,Drivers!E72,Drivers!E103)</f>
        <v>1.5</v>
      </c>
      <c r="F27" s="69"/>
      <c r="G27" s="69"/>
      <c r="H27" s="69"/>
      <c r="I27" s="69"/>
      <c r="J27" s="69"/>
      <c r="K27" s="69"/>
      <c r="L27" s="69"/>
      <c r="M27" s="69"/>
      <c r="N27" s="69"/>
      <c r="O27" s="69"/>
      <c r="P27" s="69"/>
      <c r="Q27" s="69"/>
      <c r="R27" s="69"/>
      <c r="S27" s="69"/>
    </row>
    <row r="28" spans="1:19" x14ac:dyDescent="0.3">
      <c r="A28" s="1" t="s">
        <v>236</v>
      </c>
      <c r="B28" s="75"/>
      <c r="C28" s="75"/>
      <c r="D28" s="75"/>
      <c r="E28" s="75"/>
      <c r="F28" s="41">
        <f>CHOOSE($B$5,Drivers!F42,Drivers!F73,Drivers!F104)</f>
        <v>0.05</v>
      </c>
      <c r="G28" s="41">
        <f>CHOOSE($B$5,Drivers!G42,Drivers!G73,Drivers!G104)</f>
        <v>0.05</v>
      </c>
      <c r="H28" s="41">
        <f>CHOOSE($B$5,Drivers!H42,Drivers!H73,Drivers!H104)</f>
        <v>0.05</v>
      </c>
      <c r="I28" s="41">
        <f>CHOOSE($B$5,Drivers!I42,Drivers!I73,Drivers!I104)</f>
        <v>0.05</v>
      </c>
      <c r="J28" s="41">
        <f>CHOOSE($B$5,Drivers!J42,Drivers!J73,Drivers!J104)</f>
        <v>0.04</v>
      </c>
      <c r="K28" s="41">
        <f>CHOOSE($B$5,Drivers!K42,Drivers!K73,Drivers!K104)</f>
        <v>0.04</v>
      </c>
      <c r="L28" s="41">
        <f>CHOOSE($B$5,Drivers!L42,Drivers!L73,Drivers!L104)</f>
        <v>0.04</v>
      </c>
      <c r="M28" s="41">
        <f>CHOOSE($B$5,Drivers!M42,Drivers!M73,Drivers!M104)</f>
        <v>0.04</v>
      </c>
      <c r="N28" s="41">
        <f>CHOOSE($B$5,Drivers!N42,Drivers!N73,Drivers!N104)</f>
        <v>0.04</v>
      </c>
      <c r="O28" s="41">
        <f>CHOOSE($B$5,Drivers!O42,Drivers!O73,Drivers!O104)</f>
        <v>0.04</v>
      </c>
      <c r="P28" s="41">
        <f>CHOOSE($B$5,Drivers!P42,Drivers!P73,Drivers!P104)</f>
        <v>0.04</v>
      </c>
      <c r="Q28" s="41">
        <f>CHOOSE($B$5,Drivers!Q42,Drivers!Q73,Drivers!Q104)</f>
        <v>0.04</v>
      </c>
      <c r="R28" s="41">
        <f>CHOOSE($B$5,Drivers!R42,Drivers!R73,Drivers!R104)</f>
        <v>0.04</v>
      </c>
      <c r="S28" s="41">
        <f>CHOOSE($B$5,Drivers!S42,Drivers!S73,Drivers!S104)</f>
        <v>0.04</v>
      </c>
    </row>
    <row r="29" spans="1:19" x14ac:dyDescent="0.3">
      <c r="A29" s="1" t="s">
        <v>344</v>
      </c>
      <c r="B29" s="75"/>
      <c r="C29" s="75"/>
      <c r="D29" s="75"/>
      <c r="E29" s="41">
        <f>CHOOSE($B$5,Drivers!E43,Drivers!E74,Drivers!E105)</f>
        <v>0.65</v>
      </c>
      <c r="F29" s="41">
        <f>CHOOSE($B$5,Drivers!F43,Drivers!F74,Drivers!F105)</f>
        <v>0.6</v>
      </c>
      <c r="G29" s="41">
        <f>CHOOSE($B$5,Drivers!G43,Drivers!G74,Drivers!G105)</f>
        <v>0.55000000000000004</v>
      </c>
      <c r="H29" s="41">
        <f>CHOOSE($B$5,Drivers!H43,Drivers!H74,Drivers!H105)</f>
        <v>0.5</v>
      </c>
      <c r="I29" s="41">
        <f>CHOOSE($B$5,Drivers!I43,Drivers!I74,Drivers!I105)</f>
        <v>0.46</v>
      </c>
      <c r="J29" s="41">
        <f>CHOOSE($B$5,Drivers!J43,Drivers!J74,Drivers!J105)</f>
        <v>0.42</v>
      </c>
      <c r="K29" s="41">
        <f>CHOOSE($B$5,Drivers!K43,Drivers!K74,Drivers!K105)</f>
        <v>0.4</v>
      </c>
      <c r="L29" s="41">
        <f>CHOOSE($B$5,Drivers!L43,Drivers!L74,Drivers!L105)</f>
        <v>0.38</v>
      </c>
      <c r="M29" s="41">
        <f>CHOOSE($B$5,Drivers!M43,Drivers!M74,Drivers!M105)</f>
        <v>0.36</v>
      </c>
      <c r="N29" s="41">
        <f>CHOOSE($B$5,Drivers!N43,Drivers!N74,Drivers!N105)</f>
        <v>0.35</v>
      </c>
      <c r="O29" s="41">
        <f>CHOOSE($B$5,Drivers!O43,Drivers!O74,Drivers!O105)</f>
        <v>0.34</v>
      </c>
      <c r="P29" s="41">
        <f>CHOOSE($B$5,Drivers!P43,Drivers!P74,Drivers!P105)</f>
        <v>0.33</v>
      </c>
      <c r="Q29" s="41">
        <f>CHOOSE($B$5,Drivers!Q43,Drivers!Q74,Drivers!Q105)</f>
        <v>0.32</v>
      </c>
      <c r="R29" s="41">
        <f>CHOOSE($B$5,Drivers!R43,Drivers!R74,Drivers!R105)</f>
        <v>0.31</v>
      </c>
      <c r="S29" s="41">
        <f>CHOOSE($B$5,Drivers!S43,Drivers!S74,Drivers!S105)</f>
        <v>0.3</v>
      </c>
    </row>
    <row r="30" spans="1:19" x14ac:dyDescent="0.3">
      <c r="A30" s="1" t="s">
        <v>183</v>
      </c>
      <c r="B30" s="75"/>
      <c r="C30" s="75"/>
      <c r="D30" s="75"/>
      <c r="E30" s="41">
        <f>CHOOSE($B$5,Drivers!E44,Drivers!E75,Drivers!E106)</f>
        <v>0.19</v>
      </c>
      <c r="F30" s="41">
        <f>CHOOSE($B$5,Drivers!F44,Drivers!F75,Drivers!F106)</f>
        <v>0.17</v>
      </c>
      <c r="G30" s="41">
        <f>CHOOSE($B$5,Drivers!G44,Drivers!G75,Drivers!G106)</f>
        <v>0.155</v>
      </c>
      <c r="H30" s="41">
        <f>CHOOSE($B$5,Drivers!H44,Drivers!H75,Drivers!H106)</f>
        <v>0.14499999999999999</v>
      </c>
      <c r="I30" s="41">
        <f>CHOOSE($B$5,Drivers!I44,Drivers!I75,Drivers!I106)</f>
        <v>0.13500000000000001</v>
      </c>
      <c r="J30" s="41">
        <f>CHOOSE($B$5,Drivers!J44,Drivers!J75,Drivers!J106)</f>
        <v>0.125</v>
      </c>
      <c r="K30" s="41">
        <f>CHOOSE($B$5,Drivers!K44,Drivers!K75,Drivers!K106)</f>
        <v>0.12</v>
      </c>
      <c r="L30" s="41">
        <f>CHOOSE($B$5,Drivers!L44,Drivers!L75,Drivers!L106)</f>
        <v>0.115</v>
      </c>
      <c r="M30" s="41">
        <f>CHOOSE($B$5,Drivers!M44,Drivers!M75,Drivers!M106)</f>
        <v>0.11</v>
      </c>
      <c r="N30" s="41">
        <f>CHOOSE($B$5,Drivers!N44,Drivers!N75,Drivers!N106)</f>
        <v>0.11</v>
      </c>
      <c r="O30" s="41">
        <f>CHOOSE($B$5,Drivers!O44,Drivers!O75,Drivers!O106)</f>
        <v>0.11</v>
      </c>
      <c r="P30" s="41">
        <f>CHOOSE($B$5,Drivers!P44,Drivers!P75,Drivers!P106)</f>
        <v>0.11</v>
      </c>
      <c r="Q30" s="41">
        <f>CHOOSE($B$5,Drivers!Q44,Drivers!Q75,Drivers!Q106)</f>
        <v>0.11</v>
      </c>
      <c r="R30" s="41">
        <f>CHOOSE($B$5,Drivers!R44,Drivers!R75,Drivers!R106)</f>
        <v>0.11</v>
      </c>
      <c r="S30" s="41">
        <f>CHOOSE($B$5,Drivers!S44,Drivers!S75,Drivers!S106)</f>
        <v>0.11</v>
      </c>
    </row>
    <row r="31" spans="1:19" x14ac:dyDescent="0.3">
      <c r="A31" s="1" t="s">
        <v>184</v>
      </c>
      <c r="B31" s="75"/>
      <c r="C31" s="75"/>
      <c r="D31" s="75"/>
      <c r="E31" s="41">
        <f>CHOOSE($B$5,Drivers!E45,Drivers!E76,Drivers!E107)</f>
        <v>0.1</v>
      </c>
      <c r="F31" s="41">
        <f>CHOOSE($B$5,Drivers!F45,Drivers!F76,Drivers!F107)</f>
        <v>0.09</v>
      </c>
      <c r="G31" s="41">
        <f>CHOOSE($B$5,Drivers!G45,Drivers!G76,Drivers!G107)</f>
        <v>0.08</v>
      </c>
      <c r="H31" s="41">
        <f>CHOOSE($B$5,Drivers!H45,Drivers!H76,Drivers!H107)</f>
        <v>7.4999999999999997E-2</v>
      </c>
      <c r="I31" s="41">
        <f>CHOOSE($B$5,Drivers!I45,Drivers!I76,Drivers!I107)</f>
        <v>7.0000000000000007E-2</v>
      </c>
      <c r="J31" s="41">
        <f>CHOOSE($B$5,Drivers!J45,Drivers!J76,Drivers!J107)</f>
        <v>6.5000000000000002E-2</v>
      </c>
      <c r="K31" s="41">
        <f>CHOOSE($B$5,Drivers!K45,Drivers!K76,Drivers!K107)</f>
        <v>0.06</v>
      </c>
      <c r="L31" s="41">
        <f>CHOOSE($B$5,Drivers!L45,Drivers!L76,Drivers!L107)</f>
        <v>0.06</v>
      </c>
      <c r="M31" s="41">
        <f>CHOOSE($B$5,Drivers!M45,Drivers!M76,Drivers!M107)</f>
        <v>5.5E-2</v>
      </c>
      <c r="N31" s="41">
        <f>CHOOSE($B$5,Drivers!N45,Drivers!N76,Drivers!N107)</f>
        <v>5.5E-2</v>
      </c>
      <c r="O31" s="41">
        <f>CHOOSE($B$5,Drivers!O45,Drivers!O76,Drivers!O107)</f>
        <v>5.5E-2</v>
      </c>
      <c r="P31" s="41">
        <f>CHOOSE($B$5,Drivers!P45,Drivers!P76,Drivers!P107)</f>
        <v>5.5E-2</v>
      </c>
      <c r="Q31" s="41">
        <f>CHOOSE($B$5,Drivers!Q45,Drivers!Q76,Drivers!Q107)</f>
        <v>5.5E-2</v>
      </c>
      <c r="R31" s="41">
        <f>CHOOSE($B$5,Drivers!R45,Drivers!R76,Drivers!R107)</f>
        <v>5.5E-2</v>
      </c>
      <c r="S31" s="41">
        <f>CHOOSE($B$5,Drivers!S45,Drivers!S76,Drivers!S107)</f>
        <v>5.5E-2</v>
      </c>
    </row>
    <row r="32" spans="1:19" x14ac:dyDescent="0.3">
      <c r="A32" s="1" t="s">
        <v>345</v>
      </c>
      <c r="B32" s="75"/>
      <c r="C32" s="75"/>
      <c r="D32" s="75"/>
      <c r="E32" s="41">
        <f>CHOOSE($B$5,Drivers!E46,Drivers!E77,Drivers!E108)</f>
        <v>0.01</v>
      </c>
      <c r="F32" s="41">
        <f>CHOOSE($B$5,Drivers!F46,Drivers!F77,Drivers!F108)</f>
        <v>0.01</v>
      </c>
      <c r="G32" s="41">
        <f>CHOOSE($B$5,Drivers!G46,Drivers!G77,Drivers!G108)</f>
        <v>0.01</v>
      </c>
      <c r="H32" s="41">
        <f>CHOOSE($B$5,Drivers!H46,Drivers!H77,Drivers!H108)</f>
        <v>0.01</v>
      </c>
      <c r="I32" s="41">
        <f>CHOOSE($B$5,Drivers!I46,Drivers!I77,Drivers!I108)</f>
        <v>0.01</v>
      </c>
      <c r="J32" s="41">
        <f>CHOOSE($B$5,Drivers!J46,Drivers!J77,Drivers!J108)</f>
        <v>0.01</v>
      </c>
      <c r="K32" s="41">
        <f>CHOOSE($B$5,Drivers!K46,Drivers!K77,Drivers!K108)</f>
        <v>0.01</v>
      </c>
      <c r="L32" s="41">
        <f>CHOOSE($B$5,Drivers!L46,Drivers!L77,Drivers!L108)</f>
        <v>0.01</v>
      </c>
      <c r="M32" s="41">
        <f>CHOOSE($B$5,Drivers!M46,Drivers!M77,Drivers!M108)</f>
        <v>0.01</v>
      </c>
      <c r="N32" s="41">
        <f>CHOOSE($B$5,Drivers!N46,Drivers!N77,Drivers!N108)</f>
        <v>0.01</v>
      </c>
      <c r="O32" s="41">
        <f>CHOOSE($B$5,Drivers!O46,Drivers!O77,Drivers!O108)</f>
        <v>0.01</v>
      </c>
      <c r="P32" s="41">
        <f>CHOOSE($B$5,Drivers!P46,Drivers!P77,Drivers!P108)</f>
        <v>0.01</v>
      </c>
      <c r="Q32" s="41">
        <f>CHOOSE($B$5,Drivers!Q46,Drivers!Q77,Drivers!Q108)</f>
        <v>0.01</v>
      </c>
      <c r="R32" s="41">
        <f>CHOOSE($B$5,Drivers!R46,Drivers!R77,Drivers!R108)</f>
        <v>0.01</v>
      </c>
      <c r="S32" s="41">
        <f>CHOOSE($B$5,Drivers!S46,Drivers!S77,Drivers!S108)</f>
        <v>0.01</v>
      </c>
    </row>
    <row r="33" spans="1:26" x14ac:dyDescent="0.3">
      <c r="A33" s="1" t="s">
        <v>240</v>
      </c>
      <c r="B33" s="75"/>
      <c r="C33" s="75"/>
      <c r="D33" s="75"/>
      <c r="E33" s="41">
        <f>CHOOSE($B$5,Drivers!E47,Drivers!E78,Drivers!E109)</f>
        <v>5.0000000000000001E-3</v>
      </c>
      <c r="F33" s="41">
        <f>CHOOSE($B$5,Drivers!F47,Drivers!F78,Drivers!F109)</f>
        <v>5.0000000000000001E-3</v>
      </c>
      <c r="G33" s="41">
        <f>CHOOSE($B$5,Drivers!G47,Drivers!G78,Drivers!G109)</f>
        <v>5.0000000000000001E-3</v>
      </c>
      <c r="H33" s="41">
        <f>CHOOSE($B$5,Drivers!H47,Drivers!H78,Drivers!H109)</f>
        <v>5.0000000000000001E-3</v>
      </c>
      <c r="I33" s="41">
        <f>CHOOSE($B$5,Drivers!I47,Drivers!I78,Drivers!I109)</f>
        <v>5.0000000000000001E-3</v>
      </c>
      <c r="J33" s="41">
        <f>CHOOSE($B$5,Drivers!J47,Drivers!J78,Drivers!J109)</f>
        <v>5.0000000000000001E-3</v>
      </c>
      <c r="K33" s="41">
        <f>CHOOSE($B$5,Drivers!K47,Drivers!K78,Drivers!K109)</f>
        <v>5.0000000000000001E-3</v>
      </c>
      <c r="L33" s="41">
        <f>CHOOSE($B$5,Drivers!L47,Drivers!L78,Drivers!L109)</f>
        <v>5.0000000000000001E-3</v>
      </c>
      <c r="M33" s="41">
        <f>CHOOSE($B$5,Drivers!M47,Drivers!M78,Drivers!M109)</f>
        <v>5.0000000000000001E-3</v>
      </c>
      <c r="N33" s="41">
        <f>CHOOSE($B$5,Drivers!N47,Drivers!N78,Drivers!N109)</f>
        <v>5.0000000000000001E-3</v>
      </c>
      <c r="O33" s="41">
        <f>CHOOSE($B$5,Drivers!O47,Drivers!O78,Drivers!O109)</f>
        <v>5.0000000000000001E-3</v>
      </c>
      <c r="P33" s="41">
        <f>CHOOSE($B$5,Drivers!P47,Drivers!P78,Drivers!P109)</f>
        <v>5.0000000000000001E-3</v>
      </c>
      <c r="Q33" s="41">
        <f>CHOOSE($B$5,Drivers!Q47,Drivers!Q78,Drivers!Q109)</f>
        <v>5.0000000000000001E-3</v>
      </c>
      <c r="R33" s="41">
        <f>CHOOSE($B$5,Drivers!R47,Drivers!R78,Drivers!R109)</f>
        <v>5.0000000000000001E-3</v>
      </c>
      <c r="S33" s="41">
        <f>CHOOSE($B$5,Drivers!S47,Drivers!S78,Drivers!S109)</f>
        <v>5.0000000000000001E-3</v>
      </c>
    </row>
    <row r="34" spans="1:26" x14ac:dyDescent="0.3">
      <c r="A34" s="1" t="s">
        <v>346</v>
      </c>
      <c r="B34" s="75"/>
      <c r="C34" s="75"/>
      <c r="D34" s="75"/>
      <c r="E34" s="41">
        <f>CHOOSE($B$5,Drivers!E48,Drivers!E79,Drivers!E110)</f>
        <v>0.03</v>
      </c>
      <c r="F34" s="41">
        <f>CHOOSE($B$5,Drivers!F48,Drivers!F79,Drivers!F110)</f>
        <v>0.03</v>
      </c>
      <c r="G34" s="41">
        <f>CHOOSE($B$5,Drivers!G48,Drivers!G79,Drivers!G110)</f>
        <v>0.03</v>
      </c>
      <c r="H34" s="41">
        <f>CHOOSE($B$5,Drivers!H48,Drivers!H79,Drivers!H110)</f>
        <v>0.03</v>
      </c>
      <c r="I34" s="41">
        <f>CHOOSE($B$5,Drivers!I48,Drivers!I79,Drivers!I110)</f>
        <v>0.03</v>
      </c>
      <c r="J34" s="41">
        <f>CHOOSE($B$5,Drivers!J48,Drivers!J79,Drivers!J110)</f>
        <v>0.03</v>
      </c>
      <c r="K34" s="41">
        <f>CHOOSE($B$5,Drivers!K48,Drivers!K79,Drivers!K110)</f>
        <v>0.03</v>
      </c>
      <c r="L34" s="41">
        <f>CHOOSE($B$5,Drivers!L48,Drivers!L79,Drivers!L110)</f>
        <v>0.03</v>
      </c>
      <c r="M34" s="41">
        <f>CHOOSE($B$5,Drivers!M48,Drivers!M79,Drivers!M110)</f>
        <v>0.03</v>
      </c>
      <c r="N34" s="41">
        <f>CHOOSE($B$5,Drivers!N48,Drivers!N79,Drivers!N110)</f>
        <v>0.03</v>
      </c>
      <c r="O34" s="41">
        <f>CHOOSE($B$5,Drivers!O48,Drivers!O79,Drivers!O110)</f>
        <v>0.03</v>
      </c>
      <c r="P34" s="41">
        <f>CHOOSE($B$5,Drivers!P48,Drivers!P79,Drivers!P110)</f>
        <v>0.03</v>
      </c>
      <c r="Q34" s="41">
        <f>CHOOSE($B$5,Drivers!Q48,Drivers!Q79,Drivers!Q110)</f>
        <v>0.03</v>
      </c>
      <c r="R34" s="41">
        <f>CHOOSE($B$5,Drivers!R48,Drivers!R79,Drivers!R110)</f>
        <v>0.03</v>
      </c>
      <c r="S34" s="41">
        <f>CHOOSE($B$5,Drivers!S48,Drivers!S79,Drivers!S110)</f>
        <v>0.03</v>
      </c>
    </row>
    <row r="35" spans="1:26" x14ac:dyDescent="0.3">
      <c r="A35" s="1" t="s">
        <v>347</v>
      </c>
      <c r="B35" s="75"/>
      <c r="C35" s="75"/>
      <c r="D35" s="75"/>
      <c r="E35" s="41">
        <f>CHOOSE($B$5,Drivers!E49,Drivers!E80,Drivers!E111)</f>
        <v>3.5000000000000003E-2</v>
      </c>
      <c r="F35" s="75"/>
      <c r="G35" s="75"/>
      <c r="H35" s="75"/>
      <c r="I35" s="75"/>
      <c r="J35" s="75"/>
      <c r="K35" s="75"/>
      <c r="L35" s="75"/>
      <c r="M35" s="75"/>
      <c r="N35" s="75"/>
      <c r="O35" s="75"/>
      <c r="P35" s="75"/>
      <c r="Q35" s="75"/>
      <c r="R35" s="75"/>
      <c r="S35" s="75"/>
    </row>
    <row r="36" spans="1:26" x14ac:dyDescent="0.3">
      <c r="A36" s="1" t="s">
        <v>348</v>
      </c>
      <c r="B36" s="83"/>
      <c r="C36" s="83"/>
      <c r="D36" s="83"/>
      <c r="E36" s="62">
        <f>CHOOSE($B$5,Drivers!E50,Drivers!E81,Drivers!E112)</f>
        <v>14</v>
      </c>
      <c r="F36" s="83"/>
      <c r="G36" s="83"/>
      <c r="H36" s="83"/>
      <c r="I36" s="83"/>
      <c r="J36" s="83"/>
      <c r="K36" s="83"/>
      <c r="L36" s="83"/>
      <c r="M36" s="83"/>
      <c r="N36" s="83"/>
      <c r="O36" s="83"/>
      <c r="P36" s="83"/>
      <c r="Q36" s="83"/>
      <c r="R36" s="83"/>
      <c r="S36" s="83"/>
    </row>
    <row r="37" spans="1:26" x14ac:dyDescent="0.3">
      <c r="A37" s="1" t="s">
        <v>247</v>
      </c>
      <c r="B37" s="33"/>
      <c r="C37" s="33"/>
      <c r="D37" s="33"/>
      <c r="E37" s="63">
        <f>CHOOSE($B$5,Drivers!E51,Drivers!E82,Drivers!E113)</f>
        <v>0.5</v>
      </c>
      <c r="F37" s="33"/>
      <c r="G37" s="33"/>
      <c r="H37" s="33"/>
      <c r="I37" s="33"/>
      <c r="J37" s="33"/>
      <c r="K37" s="33"/>
      <c r="L37" s="33"/>
      <c r="M37" s="33"/>
      <c r="N37" s="33"/>
      <c r="O37" s="33"/>
      <c r="P37" s="33"/>
      <c r="Q37" s="33"/>
      <c r="R37" s="33"/>
      <c r="S37" s="33"/>
    </row>
    <row r="38" spans="1:26" x14ac:dyDescent="0.3">
      <c r="A38" s="1" t="s">
        <v>349</v>
      </c>
      <c r="B38" s="49"/>
      <c r="C38" s="49"/>
      <c r="D38" s="49"/>
      <c r="E38" s="84">
        <f>CHOOSE($B$5,WACC!B27,WACC!B28,WACC!B29)</f>
        <v>0.13367493162419763</v>
      </c>
      <c r="F38" s="49"/>
      <c r="G38" s="49"/>
      <c r="H38" s="49"/>
      <c r="I38" s="49"/>
      <c r="J38" s="49"/>
      <c r="K38" s="49"/>
      <c r="L38" s="49"/>
      <c r="M38" s="49"/>
      <c r="N38" s="49"/>
      <c r="O38" s="49"/>
      <c r="P38" s="49"/>
      <c r="Q38" s="49"/>
      <c r="R38" s="49"/>
      <c r="S38" s="49"/>
    </row>
    <row r="39" spans="1:26" x14ac:dyDescent="0.3">
      <c r="A39" s="1" t="s">
        <v>502</v>
      </c>
      <c r="B39"/>
      <c r="C39"/>
      <c r="D39"/>
      <c r="E39" s="111">
        <f>CHOOSE($B$5,WACC!F27,WACC!F28,WACC!F29)</f>
        <v>0.1001529411764706</v>
      </c>
      <c r="F39"/>
      <c r="G39"/>
      <c r="H39"/>
      <c r="I39"/>
      <c r="J39"/>
      <c r="K39"/>
      <c r="L39"/>
      <c r="M39"/>
      <c r="N39"/>
      <c r="O39"/>
      <c r="P39"/>
      <c r="Q39"/>
      <c r="R39"/>
      <c r="S39"/>
      <c r="T39"/>
      <c r="U39"/>
      <c r="V39"/>
      <c r="W39"/>
      <c r="X39"/>
      <c r="Y39"/>
      <c r="Z39"/>
    </row>
    <row r="40" spans="1:26" x14ac:dyDescent="0.3">
      <c r="A40" s="1" t="s">
        <v>350</v>
      </c>
      <c r="B40" s="56"/>
      <c r="C40" s="56"/>
      <c r="D40" s="56"/>
      <c r="E40" s="61">
        <f>WACC!B9</f>
        <v>0.23</v>
      </c>
      <c r="F40" s="56"/>
      <c r="G40" s="56"/>
      <c r="H40" s="56"/>
      <c r="I40" s="56"/>
      <c r="J40" s="56"/>
      <c r="K40" s="56"/>
      <c r="L40" s="56"/>
      <c r="M40" s="56"/>
      <c r="N40" s="56"/>
      <c r="O40" s="56"/>
      <c r="P40" s="56"/>
      <c r="Q40" s="56"/>
      <c r="R40" s="56"/>
      <c r="S40" s="56"/>
    </row>
    <row r="41" spans="1:26" ht="3" customHeight="1" x14ac:dyDescent="0.3"/>
    <row r="42" spans="1:26" x14ac:dyDescent="0.3">
      <c r="A42" s="5" t="s">
        <v>351</v>
      </c>
      <c r="B42" s="5"/>
      <c r="C42" s="5"/>
      <c r="D42" s="5"/>
      <c r="E42" s="5"/>
      <c r="F42" s="5"/>
      <c r="G42" s="5"/>
      <c r="H42" s="5"/>
      <c r="I42" s="5"/>
      <c r="J42" s="5"/>
      <c r="K42" s="5"/>
      <c r="L42" s="5"/>
      <c r="M42" s="5"/>
      <c r="N42" s="5"/>
      <c r="O42" s="5"/>
      <c r="P42" s="5"/>
      <c r="Q42" s="5"/>
      <c r="R42" s="5"/>
      <c r="S42" s="5"/>
    </row>
    <row r="43" spans="1:26" x14ac:dyDescent="0.3">
      <c r="A43" s="1" t="s">
        <v>352</v>
      </c>
      <c r="B43" s="9"/>
      <c r="C43" s="9"/>
      <c r="D43" s="9"/>
      <c r="E43" s="77">
        <f>INDEX(Historicals!$B$7:$K$7,MATCH(Actuals!$B$5,Historicals!$B$6:$K$6,0))</f>
        <v>16286</v>
      </c>
      <c r="F43" s="9"/>
      <c r="G43" s="9"/>
      <c r="H43" s="9"/>
      <c r="I43" s="9"/>
      <c r="J43" s="9"/>
      <c r="K43" s="9"/>
      <c r="L43" s="9"/>
      <c r="M43" s="9"/>
      <c r="N43" s="9"/>
      <c r="O43" s="9"/>
      <c r="P43" s="9"/>
      <c r="Q43" s="9"/>
      <c r="R43" s="9"/>
      <c r="S43" s="9"/>
    </row>
    <row r="44" spans="1:26" x14ac:dyDescent="0.3">
      <c r="A44" s="1" t="s">
        <v>353</v>
      </c>
      <c r="B44" s="9"/>
      <c r="C44" s="9"/>
      <c r="D44" s="9"/>
      <c r="E44" s="77">
        <f>INDEX(Historicals!$B$9:$K$9,MATCH(Actuals!$B$5,Historicals!$B$6:$K$6,0))</f>
        <v>8945</v>
      </c>
      <c r="F44" s="9"/>
      <c r="G44" s="9"/>
      <c r="H44" s="9"/>
      <c r="I44" s="9"/>
      <c r="J44" s="9"/>
      <c r="K44" s="9"/>
      <c r="L44" s="9"/>
      <c r="M44" s="9"/>
      <c r="N44" s="9"/>
      <c r="O44" s="9"/>
      <c r="P44" s="9"/>
      <c r="Q44" s="9"/>
      <c r="R44" s="9"/>
      <c r="S44" s="9"/>
    </row>
    <row r="45" spans="1:26" x14ac:dyDescent="0.3">
      <c r="A45" s="1" t="s">
        <v>354</v>
      </c>
      <c r="B45" s="9"/>
      <c r="C45" s="9"/>
      <c r="D45" s="9"/>
      <c r="E45" s="77">
        <f>INDEX(Historicals!$B$10:$K$10,MATCH(Actuals!$B$5,Historicals!$B$6:$K$6,0))</f>
        <v>3152</v>
      </c>
      <c r="F45" s="9"/>
      <c r="G45" s="9"/>
      <c r="H45" s="9"/>
      <c r="I45" s="9"/>
      <c r="J45" s="9"/>
      <c r="K45" s="9"/>
      <c r="L45" s="9"/>
      <c r="M45" s="9"/>
      <c r="N45" s="9"/>
      <c r="O45" s="9"/>
      <c r="P45" s="9"/>
      <c r="Q45" s="9"/>
      <c r="R45" s="9"/>
      <c r="S45" s="9"/>
    </row>
    <row r="46" spans="1:26" x14ac:dyDescent="0.3">
      <c r="A46" s="1" t="s">
        <v>355</v>
      </c>
      <c r="B46" s="9"/>
      <c r="C46" s="9"/>
      <c r="D46" s="9"/>
      <c r="E46" s="77">
        <f>INDEX(Historicals!$B$12:$K$12,MATCH(Actuals!$B$5,Historicals!$B$6:$K$6,0))</f>
        <v>3168</v>
      </c>
      <c r="F46" s="9"/>
      <c r="G46" s="9"/>
      <c r="H46" s="9"/>
      <c r="I46" s="9"/>
      <c r="J46" s="9"/>
      <c r="K46" s="9"/>
      <c r="L46" s="9"/>
      <c r="M46" s="9"/>
      <c r="N46" s="9"/>
      <c r="O46" s="9"/>
      <c r="P46" s="9"/>
      <c r="Q46" s="9"/>
      <c r="R46" s="9"/>
      <c r="S46" s="9"/>
    </row>
    <row r="47" spans="1:26" x14ac:dyDescent="0.3">
      <c r="A47" s="1" t="s">
        <v>356</v>
      </c>
      <c r="B47" s="9"/>
      <c r="C47" s="9"/>
      <c r="D47" s="9"/>
      <c r="E47" s="77">
        <f>INDEX(Historicals!$B$13:$K$13,MATCH(Actuals!$B$5,Historicals!$B$6:$K$6,0))</f>
        <v>1714</v>
      </c>
      <c r="F47" s="9"/>
      <c r="G47" s="9"/>
      <c r="H47" s="9"/>
      <c r="I47" s="9"/>
      <c r="J47" s="9"/>
      <c r="K47" s="9"/>
      <c r="L47" s="9"/>
      <c r="M47" s="9"/>
      <c r="N47" s="9"/>
      <c r="O47" s="9"/>
      <c r="P47" s="9"/>
      <c r="Q47" s="9"/>
      <c r="R47" s="9"/>
      <c r="S47" s="9"/>
    </row>
    <row r="48" spans="1:26" x14ac:dyDescent="0.3">
      <c r="A48" s="1" t="s">
        <v>357</v>
      </c>
      <c r="B48" s="9"/>
      <c r="C48" s="9"/>
      <c r="D48" s="9"/>
      <c r="E48" s="77">
        <f>INDEX(Historicals!$B$25:$K$25,MATCH(Actuals!$B$5,Historicals!$B$6:$K$6,0))</f>
        <v>2185</v>
      </c>
      <c r="F48" s="9"/>
      <c r="G48" s="9"/>
      <c r="H48" s="9"/>
      <c r="I48" s="9"/>
      <c r="J48" s="9"/>
      <c r="K48" s="9"/>
      <c r="L48" s="9"/>
      <c r="M48" s="9"/>
      <c r="N48" s="9"/>
      <c r="O48" s="9"/>
      <c r="P48" s="9"/>
      <c r="Q48" s="9"/>
      <c r="R48" s="9"/>
      <c r="S48" s="9"/>
    </row>
    <row r="49" spans="1:19" x14ac:dyDescent="0.3">
      <c r="A49" s="1" t="s">
        <v>358</v>
      </c>
      <c r="B49" s="9"/>
      <c r="C49" s="9"/>
      <c r="D49" s="9"/>
      <c r="E49" s="77">
        <f>INDEX(Historicals!$B$26:$K$26,MATCH(Actuals!$B$5,Historicals!$B$6:$K$6,0))</f>
        <v>97</v>
      </c>
      <c r="F49" s="9"/>
      <c r="G49" s="9"/>
      <c r="H49" s="9"/>
      <c r="I49" s="9"/>
      <c r="J49" s="9"/>
      <c r="K49" s="9"/>
      <c r="L49" s="9"/>
      <c r="M49" s="9"/>
      <c r="N49" s="9"/>
      <c r="O49" s="9"/>
      <c r="P49" s="9"/>
      <c r="Q49" s="9"/>
      <c r="R49" s="9"/>
      <c r="S49" s="9"/>
    </row>
    <row r="50" spans="1:19" x14ac:dyDescent="0.3">
      <c r="A50" s="1" t="s">
        <v>359</v>
      </c>
      <c r="B50" s="51"/>
      <c r="C50" s="51"/>
      <c r="D50" s="51"/>
      <c r="E50" s="52">
        <f>Actuals!$B$6/12</f>
        <v>0.5</v>
      </c>
      <c r="F50" s="51"/>
      <c r="G50" s="51"/>
      <c r="H50" s="51"/>
      <c r="I50" s="51"/>
      <c r="J50" s="51"/>
      <c r="K50" s="51"/>
      <c r="L50" s="51"/>
      <c r="M50" s="51"/>
      <c r="N50" s="51"/>
      <c r="O50" s="51"/>
      <c r="P50" s="51"/>
      <c r="Q50" s="51"/>
      <c r="R50" s="51"/>
      <c r="S50" s="51"/>
    </row>
    <row r="51" spans="1:19" x14ac:dyDescent="0.3">
      <c r="A51" s="1" t="s">
        <v>360</v>
      </c>
      <c r="B51" s="9"/>
      <c r="C51" s="9"/>
      <c r="D51" s="9"/>
      <c r="E51" s="30">
        <f>E65-E43</f>
        <v>38218.162499999999</v>
      </c>
      <c r="F51" s="9"/>
      <c r="G51" s="9"/>
      <c r="H51" s="9"/>
      <c r="I51" s="9"/>
      <c r="J51" s="9"/>
      <c r="K51" s="9"/>
      <c r="L51" s="9"/>
      <c r="M51" s="9"/>
      <c r="N51" s="9"/>
      <c r="O51" s="9"/>
      <c r="P51" s="9"/>
      <c r="Q51" s="9"/>
      <c r="R51" s="9"/>
      <c r="S51" s="9"/>
    </row>
    <row r="52" spans="1:19" x14ac:dyDescent="0.3">
      <c r="A52" s="1" t="s">
        <v>715</v>
      </c>
      <c r="B52" s="9"/>
      <c r="C52" s="9"/>
      <c r="D52" s="9"/>
      <c r="E52" s="77">
        <f>INDEX(Historicals!$B$128:$K$128,MATCH(Actuals!$B$5,Historicals!$B$113:$K$113,0))+INDEX(Historicals!$B$130:$K$130,MATCH(Actuals!$B$5,Historicals!$B$113:$K$113,0))-INDEX(Historicals!$B$16:$K$16,MATCH(Actuals!$B$5,Historicals!$B$6:$K$6,0))*(1-$E$40)</f>
        <v>2591.5299999999997</v>
      </c>
      <c r="F52" s="9"/>
      <c r="G52" s="9"/>
      <c r="H52" s="9"/>
      <c r="I52" s="9"/>
      <c r="J52" s="9"/>
      <c r="K52" s="9"/>
      <c r="L52" s="9"/>
      <c r="M52" s="9"/>
      <c r="N52" s="9"/>
      <c r="O52" s="9"/>
      <c r="P52" s="9"/>
      <c r="Q52" s="9"/>
      <c r="R52" s="9"/>
      <c r="S52" s="9"/>
    </row>
    <row r="53" spans="1:19" ht="3" customHeight="1" x14ac:dyDescent="0.3"/>
    <row r="54" spans="1:19" x14ac:dyDescent="0.3">
      <c r="A54" s="5" t="s">
        <v>361</v>
      </c>
      <c r="B54" s="5"/>
      <c r="C54" s="5"/>
      <c r="D54" s="5"/>
      <c r="E54" s="5"/>
      <c r="F54" s="5"/>
      <c r="G54" s="5"/>
      <c r="H54" s="5"/>
      <c r="I54" s="5"/>
      <c r="J54" s="5"/>
      <c r="K54" s="5"/>
      <c r="L54" s="5"/>
      <c r="M54" s="5"/>
      <c r="N54" s="5"/>
      <c r="O54" s="5"/>
      <c r="P54" s="5"/>
      <c r="Q54" s="5"/>
      <c r="R54" s="5"/>
      <c r="S54" s="5"/>
    </row>
    <row r="55" spans="1:19" x14ac:dyDescent="0.3">
      <c r="A55" s="6" t="s">
        <v>362</v>
      </c>
      <c r="B55" s="7" t="s">
        <v>363</v>
      </c>
      <c r="C55" s="7" t="s">
        <v>364</v>
      </c>
      <c r="D55" s="7" t="s">
        <v>365</v>
      </c>
      <c r="E55" s="7" t="s">
        <v>366</v>
      </c>
      <c r="F55" s="7" t="s">
        <v>192</v>
      </c>
    </row>
    <row r="56" spans="1:19" x14ac:dyDescent="0.3">
      <c r="A56" s="1" t="s">
        <v>367</v>
      </c>
      <c r="B56" s="77">
        <f>IFERROR(IF(INDEX(Historicals!$B$33:$M$33,MATCH(B$55&amp;"A",Historicals!$B$32:$M$32,0))="","",INDEX(Historicals!$B$33:$M$33,MATCH(B$55&amp;"A",Historicals!$B$32:$M$32,0))),"")</f>
        <v>4731</v>
      </c>
      <c r="C56" s="77">
        <f>IFERROR(IF(INDEX(Historicals!$B$33:$M$33,MATCH(C$55&amp;"A",Historicals!$B$32:$M$32,0))="","",INDEX(Historicals!$B$33:$M$33,MATCH(C$55&amp;"A",Historicals!$B$32:$M$32,0))),"")</f>
        <v>11555</v>
      </c>
      <c r="D56" s="77" t="str">
        <f>IFERROR(IF(INDEX(Historicals!$B$33:$M$33,MATCH(D$55&amp;"A",Historicals!$B$32:$M$32,0))="","",INDEX(Historicals!$B$33:$M$33,MATCH(D$55&amp;"A",Historicals!$B$32:$M$32,0))),"")</f>
        <v/>
      </c>
      <c r="E56" s="77" t="str">
        <f>IFERROR(IF(INDEX(Historicals!$B$33:$M$33,MATCH(E$55&amp;"A",Historicals!$B$32:$M$32,0))="","",INDEX(Historicals!$B$33:$M$33,MATCH(E$55&amp;"A",Historicals!$B$32:$M$32,0))),"")</f>
        <v/>
      </c>
      <c r="F56" s="9"/>
      <c r="G56" s="9"/>
      <c r="H56" s="9"/>
      <c r="I56" s="9"/>
      <c r="J56" s="9"/>
      <c r="K56" s="9"/>
      <c r="L56" s="9"/>
      <c r="M56" s="9"/>
      <c r="N56" s="9"/>
      <c r="O56" s="9"/>
      <c r="P56" s="9"/>
      <c r="Q56" s="9"/>
      <c r="R56" s="9"/>
      <c r="S56" s="9"/>
    </row>
    <row r="57" spans="1:19" x14ac:dyDescent="0.3">
      <c r="A57" s="1" t="s">
        <v>368</v>
      </c>
      <c r="B57" s="41">
        <f>IF(B56&lt;&gt;"",B56/Historicals!$E$33-1,0)</f>
        <v>1.3191176470588237</v>
      </c>
      <c r="C57" s="31">
        <f>IF(C56&lt;&gt;"",C56/B58-1,0)</f>
        <v>1.4424011836820969</v>
      </c>
      <c r="D57" s="31">
        <f>IF(D56&lt;&gt;"",D56/C58-1,$E$9)</f>
        <v>0.47</v>
      </c>
      <c r="E57" s="31">
        <f>IF(E56&lt;&gt;"",E56/D58-1,$E$10)</f>
        <v>0.25</v>
      </c>
      <c r="F57" s="75"/>
      <c r="G57" s="75"/>
      <c r="H57" s="75"/>
      <c r="I57" s="75"/>
      <c r="J57" s="75"/>
      <c r="K57" s="75"/>
      <c r="L57" s="75"/>
      <c r="M57" s="75"/>
      <c r="N57" s="75"/>
      <c r="O57" s="75"/>
      <c r="P57" s="75"/>
      <c r="Q57" s="75"/>
      <c r="R57" s="75"/>
      <c r="S57" s="75"/>
    </row>
    <row r="58" spans="1:19" x14ac:dyDescent="0.3">
      <c r="A58" s="10" t="s">
        <v>369</v>
      </c>
      <c r="B58" s="87">
        <f>IF(B56&lt;&gt;"",B56,Historicals!$E$33*(1+B57))</f>
        <v>4731</v>
      </c>
      <c r="C58" s="34">
        <f>IF(C56&lt;&gt;"",C56,B58*(1+C57))</f>
        <v>11555</v>
      </c>
      <c r="D58" s="34">
        <f>IF(D56&lt;&gt;"",D56,C58*(1+D57))</f>
        <v>16985.849999999999</v>
      </c>
      <c r="E58" s="34">
        <f>IF(E56&lt;&gt;"",E56,D58*(1+E57))</f>
        <v>21232.3125</v>
      </c>
      <c r="F58" s="34">
        <f>SUM(B58:E58)</f>
        <v>54504.162499999999</v>
      </c>
      <c r="G58" s="12"/>
      <c r="H58" s="12"/>
      <c r="I58" s="12"/>
      <c r="J58" s="12"/>
      <c r="K58" s="12"/>
      <c r="L58" s="12"/>
      <c r="M58" s="12"/>
      <c r="N58" s="12"/>
      <c r="O58" s="12"/>
      <c r="P58" s="12"/>
      <c r="Q58" s="12"/>
      <c r="R58" s="12"/>
      <c r="S58" s="12"/>
    </row>
    <row r="59" spans="1:19" x14ac:dyDescent="0.3">
      <c r="A59" s="1" t="s">
        <v>370</v>
      </c>
      <c r="B59" s="85" t="str">
        <f>IF(B56&lt;&gt;"","Actual","Estimate")</f>
        <v>Actual</v>
      </c>
      <c r="C59" s="85" t="str">
        <f>IF(C56&lt;&gt;"","Actual","Estimate")</f>
        <v>Actual</v>
      </c>
      <c r="D59" s="85" t="str">
        <f>IF(D56&lt;&gt;"","Actual","Estimate")</f>
        <v>Estimate</v>
      </c>
      <c r="E59" s="85" t="str">
        <f>IF(E56&lt;&gt;"","Actual","Estimate")</f>
        <v>Estimate</v>
      </c>
      <c r="F59" s="86"/>
      <c r="G59" s="86"/>
      <c r="H59" s="86"/>
      <c r="I59" s="86"/>
      <c r="J59" s="86"/>
      <c r="K59" s="86"/>
      <c r="L59" s="86"/>
      <c r="M59" s="86"/>
      <c r="N59" s="86"/>
      <c r="O59" s="86"/>
      <c r="P59" s="86"/>
      <c r="Q59" s="86"/>
      <c r="R59" s="86"/>
      <c r="S59" s="86"/>
    </row>
    <row r="60" spans="1:19" x14ac:dyDescent="0.3">
      <c r="A60" s="1" t="s">
        <v>371</v>
      </c>
      <c r="B60" s="30">
        <f>B58*4</f>
        <v>18924</v>
      </c>
      <c r="C60" s="30">
        <f>C58*4</f>
        <v>46220</v>
      </c>
      <c r="D60" s="30">
        <f>D58*4</f>
        <v>67943.399999999994</v>
      </c>
      <c r="E60" s="30">
        <f>E58*4</f>
        <v>84929.25</v>
      </c>
      <c r="F60" s="9"/>
      <c r="G60" s="9"/>
      <c r="H60" s="9"/>
      <c r="I60" s="9"/>
      <c r="J60" s="9"/>
      <c r="K60" s="9"/>
      <c r="L60" s="9"/>
      <c r="M60" s="9"/>
      <c r="N60" s="9"/>
      <c r="O60" s="9"/>
      <c r="P60" s="9"/>
      <c r="Q60" s="9"/>
      <c r="R60" s="9"/>
      <c r="S60" s="9"/>
    </row>
    <row r="61" spans="1:19" ht="3" customHeight="1" x14ac:dyDescent="0.3"/>
    <row r="62" spans="1:19" x14ac:dyDescent="0.3">
      <c r="A62" s="5" t="s">
        <v>372</v>
      </c>
      <c r="B62" s="5"/>
      <c r="C62" s="5"/>
      <c r="D62" s="5"/>
      <c r="E62" s="5"/>
      <c r="F62" s="5"/>
      <c r="G62" s="5"/>
      <c r="H62" s="5"/>
      <c r="I62" s="5"/>
      <c r="J62" s="5"/>
      <c r="K62" s="5"/>
      <c r="L62" s="5"/>
      <c r="M62" s="5"/>
      <c r="N62" s="5"/>
      <c r="O62" s="5"/>
      <c r="P62" s="5"/>
      <c r="Q62" s="5"/>
      <c r="R62" s="5"/>
      <c r="S62" s="5"/>
    </row>
    <row r="63" spans="1:19" x14ac:dyDescent="0.3">
      <c r="A63" s="1" t="s">
        <v>373</v>
      </c>
      <c r="B63" s="77">
        <f>Historicals!B72</f>
        <v>39</v>
      </c>
      <c r="C63" s="77">
        <f>Historicals!C72</f>
        <v>288</v>
      </c>
      <c r="D63" s="77">
        <f>Historicals!D72</f>
        <v>3796</v>
      </c>
      <c r="E63" s="30">
        <f>E65-E64</f>
        <v>43603.33</v>
      </c>
      <c r="F63" s="30">
        <f>E63*(1+F12)</f>
        <v>91566.993000000002</v>
      </c>
      <c r="G63" s="30">
        <f>F63*(1+G12)</f>
        <v>146507.1888</v>
      </c>
      <c r="H63" s="30">
        <f>G63*(1+H12)</f>
        <v>205110.06432</v>
      </c>
      <c r="I63" s="30">
        <f>H63*(1+I12)</f>
        <v>266643.08361600002</v>
      </c>
      <c r="J63" s="30">
        <f>I63*(1+J12)</f>
        <v>330637.42368384002</v>
      </c>
      <c r="K63" s="30">
        <f>J63*(1+K12)</f>
        <v>393458.5341837696</v>
      </c>
      <c r="L63" s="30">
        <f>K63*(1+L12)</f>
        <v>452477.31431133498</v>
      </c>
      <c r="M63" s="30">
        <f>L63*(1+M12)</f>
        <v>506774.59202869522</v>
      </c>
      <c r="N63" s="30">
        <f>M63*(1+N12)</f>
        <v>557452.05123156484</v>
      </c>
      <c r="O63" s="30">
        <f>N63*(1+O12)</f>
        <v>604835.47558624786</v>
      </c>
      <c r="P63" s="30">
        <f>O63*(1+P12)</f>
        <v>647173.95887728524</v>
      </c>
      <c r="Q63" s="30">
        <f>P63*(1+Q12)</f>
        <v>686004.3964099224</v>
      </c>
      <c r="R63" s="30">
        <f>Q63*(1+R12)</f>
        <v>720304.61623041856</v>
      </c>
      <c r="S63" s="30">
        <f>R63*(1+S12)</f>
        <v>749116.80087963538</v>
      </c>
    </row>
    <row r="64" spans="1:19" x14ac:dyDescent="0.3">
      <c r="A64" s="1" t="s">
        <v>374</v>
      </c>
      <c r="B64" s="77">
        <f>Historicals!B73</f>
        <v>2</v>
      </c>
      <c r="C64" s="77">
        <f>Historicals!C73</f>
        <v>98</v>
      </c>
      <c r="D64" s="77">
        <f>Historicals!D73</f>
        <v>789</v>
      </c>
      <c r="E64" s="30">
        <f>E65*E11</f>
        <v>10900.8325</v>
      </c>
      <c r="F64" s="30">
        <f>E64*(1+F13)</f>
        <v>21801.665000000001</v>
      </c>
      <c r="G64" s="30">
        <f>F64*(1+G13)</f>
        <v>33792.580750000001</v>
      </c>
      <c r="H64" s="30">
        <f>G64*(1+H13)</f>
        <v>46633.761435</v>
      </c>
      <c r="I64" s="30">
        <f>H64*(1+I13)</f>
        <v>59691.214636800003</v>
      </c>
      <c r="J64" s="30">
        <f>I64*(1+J13)</f>
        <v>72823.281856896007</v>
      </c>
      <c r="K64" s="30">
        <f>J64*(1+K13)</f>
        <v>85203.239772568326</v>
      </c>
      <c r="L64" s="30">
        <f>K64*(1+L13)</f>
        <v>96279.660943002193</v>
      </c>
      <c r="M64" s="30">
        <f>L64*(1+M13)</f>
        <v>106870.42364673244</v>
      </c>
      <c r="N64" s="30">
        <f>M64*(1+N13)</f>
        <v>116488.76177493836</v>
      </c>
      <c r="O64" s="30">
        <f>N64*(1+O13)</f>
        <v>125225.41890805874</v>
      </c>
      <c r="P64" s="30">
        <f>O64*(1+P13)</f>
        <v>133365.07113708256</v>
      </c>
      <c r="Q64" s="30">
        <f>P64*(1+Q13)</f>
        <v>140700.15004962208</v>
      </c>
      <c r="R64" s="30">
        <f>Q64*(1+R13)</f>
        <v>147031.65680185508</v>
      </c>
      <c r="S64" s="30">
        <f>R64*(1+S13)</f>
        <v>152912.92307392927</v>
      </c>
    </row>
    <row r="65" spans="1:19" x14ac:dyDescent="0.3">
      <c r="A65" s="10" t="s">
        <v>375</v>
      </c>
      <c r="B65" s="87">
        <f>Historicals!B7</f>
        <v>41</v>
      </c>
      <c r="C65" s="87">
        <f>Historicals!C7</f>
        <v>386</v>
      </c>
      <c r="D65" s="87">
        <f>Historicals!D7</f>
        <v>4585</v>
      </c>
      <c r="E65" s="34">
        <f>F58</f>
        <v>54504.162499999999</v>
      </c>
      <c r="F65" s="34">
        <f>F63+F64</f>
        <v>113368.658</v>
      </c>
      <c r="G65" s="34">
        <f>G63+G64</f>
        <v>180299.76955</v>
      </c>
      <c r="H65" s="34">
        <f>H63+H64</f>
        <v>251743.825755</v>
      </c>
      <c r="I65" s="34">
        <f>I63+I64</f>
        <v>326334.29825280001</v>
      </c>
      <c r="J65" s="34">
        <f>J63+J64</f>
        <v>403460.70554073603</v>
      </c>
      <c r="K65" s="34">
        <f>K63+K64</f>
        <v>478661.77395633794</v>
      </c>
      <c r="L65" s="34">
        <f>L63+L64</f>
        <v>548756.97525433719</v>
      </c>
      <c r="M65" s="34">
        <f>M63+M64</f>
        <v>613645.01567542762</v>
      </c>
      <c r="N65" s="34">
        <f>N63+N64</f>
        <v>673940.81300650316</v>
      </c>
      <c r="O65" s="34">
        <f>O63+O64</f>
        <v>730060.89449430665</v>
      </c>
      <c r="P65" s="34">
        <f>P63+P64</f>
        <v>780539.03001436777</v>
      </c>
      <c r="Q65" s="34">
        <f>Q63+Q64</f>
        <v>826704.54645954445</v>
      </c>
      <c r="R65" s="34">
        <f>R63+R64</f>
        <v>867336.27303227363</v>
      </c>
      <c r="S65" s="34">
        <f>S63+S64</f>
        <v>902029.72395356465</v>
      </c>
    </row>
    <row r="66" spans="1:19" x14ac:dyDescent="0.3">
      <c r="A66" s="3" t="s">
        <v>376</v>
      </c>
      <c r="B66" s="75"/>
      <c r="C66" s="31">
        <f>C65/B65-1</f>
        <v>8.4146341463414629</v>
      </c>
      <c r="D66" s="31">
        <f>D65/C65-1</f>
        <v>10.878238341968911</v>
      </c>
      <c r="E66" s="31">
        <f>E65/D65-1</f>
        <v>10.887494547437296</v>
      </c>
      <c r="F66" s="31">
        <f>F65/E65-1</f>
        <v>1.08</v>
      </c>
      <c r="G66" s="31">
        <f>G65/F65-1</f>
        <v>0.59038461538461551</v>
      </c>
      <c r="H66" s="31">
        <f>H65/G65-1</f>
        <v>0.39625151148730353</v>
      </c>
      <c r="I66" s="31">
        <f>I65/H65-1</f>
        <v>0.29629514159521952</v>
      </c>
      <c r="J66" s="31">
        <f>J65/I65-1</f>
        <v>0.2363417136993331</v>
      </c>
      <c r="K66" s="31">
        <f>K65/J65-1</f>
        <v>0.18639006818474213</v>
      </c>
      <c r="L66" s="31">
        <f>L65/K65-1</f>
        <v>0.14643993966477287</v>
      </c>
      <c r="M66" s="31">
        <f>M65/L65-1</f>
        <v>0.11824549545090735</v>
      </c>
      <c r="N66" s="31">
        <f>N65/M65-1</f>
        <v>9.8258432466381329E-2</v>
      </c>
      <c r="O66" s="31">
        <f>O65/N65-1</f>
        <v>8.327152830743012E-2</v>
      </c>
      <c r="P66" s="31">
        <f>P65/O65-1</f>
        <v>6.9142363192903122E-2</v>
      </c>
      <c r="Q66" s="31">
        <f>Q65/P65-1</f>
        <v>5.9145686083534876E-2</v>
      </c>
      <c r="R66" s="31">
        <f>R65/Q65-1</f>
        <v>4.9149030021353068E-2</v>
      </c>
      <c r="S66" s="31">
        <f>S65/R65-1</f>
        <v>4.0000000000000036E-2</v>
      </c>
    </row>
    <row r="67" spans="1:19" x14ac:dyDescent="0.3">
      <c r="A67" s="3" t="s">
        <v>377</v>
      </c>
      <c r="B67" s="31">
        <f>B64/B65</f>
        <v>4.878048780487805E-2</v>
      </c>
      <c r="C67" s="31">
        <f>C64/C65</f>
        <v>0.25388601036269431</v>
      </c>
      <c r="D67" s="31">
        <f>D64/D65</f>
        <v>0.17208287895310795</v>
      </c>
      <c r="E67" s="31">
        <f>E64/E65</f>
        <v>0.2</v>
      </c>
      <c r="F67" s="31">
        <f>F64/F65</f>
        <v>0.19230769230769232</v>
      </c>
      <c r="G67" s="31">
        <f>G64/G65</f>
        <v>0.18742442563482467</v>
      </c>
      <c r="H67" s="31">
        <f>H64/H65</f>
        <v>0.18524292023902311</v>
      </c>
      <c r="I67" s="31">
        <f>I64/I65</f>
        <v>0.18291431503335043</v>
      </c>
      <c r="J67" s="31">
        <f>J64/J65</f>
        <v>0.1804965907628972</v>
      </c>
      <c r="K67" s="31">
        <f>K64/K65</f>
        <v>0.17800301676135163</v>
      </c>
      <c r="L67" s="31">
        <f>L64/L65</f>
        <v>0.17545045490925854</v>
      </c>
      <c r="M67" s="31">
        <f>M64/M65</f>
        <v>0.17415675336188</v>
      </c>
      <c r="N67" s="31">
        <f>N64/N65</f>
        <v>0.17284716925700463</v>
      </c>
      <c r="O67" s="31">
        <f>O64/O65</f>
        <v>0.17152736141934979</v>
      </c>
      <c r="P67" s="31">
        <f>P64/P65</f>
        <v>0.1708627832930118</v>
      </c>
      <c r="Q67" s="31">
        <f>Q64/Q65</f>
        <v>0.17019399572941307</v>
      </c>
      <c r="R67" s="31">
        <f>R64/R65</f>
        <v>0.1695209359661867</v>
      </c>
      <c r="S67" s="31">
        <f>S64/S65</f>
        <v>0.16952093596618667</v>
      </c>
    </row>
    <row r="68" spans="1:19" x14ac:dyDescent="0.3">
      <c r="A68" s="1" t="s">
        <v>378</v>
      </c>
      <c r="B68" s="77">
        <f>Historicals!B69</f>
        <v>34</v>
      </c>
      <c r="C68" s="77">
        <f>Historicals!C69</f>
        <v>263</v>
      </c>
      <c r="D68" s="77">
        <f>Historicals!D69</f>
        <v>3362</v>
      </c>
      <c r="E68" s="30">
        <f>E65*(1-E14)</f>
        <v>39242.996999999996</v>
      </c>
      <c r="F68" s="30">
        <f>F65*(1-F14)</f>
        <v>80491.747179999991</v>
      </c>
      <c r="G68" s="30">
        <f>G65*(1-G14)</f>
        <v>126209.838685</v>
      </c>
      <c r="H68" s="30">
        <f>H65*(1-H14)</f>
        <v>173703.23977094999</v>
      </c>
      <c r="I68" s="30">
        <f>I65*(1-I14)</f>
        <v>221907.32281190398</v>
      </c>
      <c r="J68" s="30">
        <f>J65*(1-J14)</f>
        <v>270318.6727122931</v>
      </c>
      <c r="K68" s="30">
        <f>K65*(1-K14)</f>
        <v>315916.77081118303</v>
      </c>
      <c r="L68" s="30">
        <f>L65*(1-L14)</f>
        <v>356692.03391531919</v>
      </c>
      <c r="M68" s="30">
        <f>M65*(1-M14)</f>
        <v>392732.8100322737</v>
      </c>
      <c r="N68" s="30">
        <f>N65*(1-N14)</f>
        <v>424582.712194097</v>
      </c>
      <c r="O68" s="30">
        <f>O65*(1-O14)</f>
        <v>452637.75458647014</v>
      </c>
      <c r="P68" s="30">
        <f>P65*(1-P14)</f>
        <v>476128.80830876436</v>
      </c>
      <c r="Q68" s="30">
        <f>Q65*(1-Q14)</f>
        <v>496022.72787572665</v>
      </c>
      <c r="R68" s="30">
        <f>R65*(1-R14)</f>
        <v>520401.76381936413</v>
      </c>
      <c r="S68" s="30">
        <f>S65*(1-S14)</f>
        <v>541217.83437213872</v>
      </c>
    </row>
    <row r="69" spans="1:19" x14ac:dyDescent="0.3">
      <c r="A69" s="1" t="s">
        <v>379</v>
      </c>
      <c r="B69" s="77">
        <f>Historicals!B70</f>
        <v>7</v>
      </c>
      <c r="C69" s="77">
        <f>Historicals!C70</f>
        <v>123</v>
      </c>
      <c r="D69" s="77">
        <f>Historicals!D70</f>
        <v>1223</v>
      </c>
      <c r="E69" s="30">
        <f>E65*E14</f>
        <v>15261.165500000001</v>
      </c>
      <c r="F69" s="30">
        <f>F65*F14</f>
        <v>32876.910819999997</v>
      </c>
      <c r="G69" s="30">
        <f>G65*G14</f>
        <v>54089.930864999995</v>
      </c>
      <c r="H69" s="30">
        <f>H65*H14</f>
        <v>78040.585984050005</v>
      </c>
      <c r="I69" s="30">
        <f>I65*I14</f>
        <v>104426.975440896</v>
      </c>
      <c r="J69" s="30">
        <f>J65*J14</f>
        <v>133142.0328284429</v>
      </c>
      <c r="K69" s="30">
        <f>K65*K14</f>
        <v>162745.00314515491</v>
      </c>
      <c r="L69" s="30">
        <f>L65*L14</f>
        <v>192064.941339018</v>
      </c>
      <c r="M69" s="30">
        <f>M65*M14</f>
        <v>220912.20564315392</v>
      </c>
      <c r="N69" s="30">
        <f>N65*N14</f>
        <v>249358.10081240616</v>
      </c>
      <c r="O69" s="30">
        <f>O65*O14</f>
        <v>277423.13990783651</v>
      </c>
      <c r="P69" s="30">
        <f>P65*P14</f>
        <v>304410.22170560341</v>
      </c>
      <c r="Q69" s="30">
        <f>Q65*Q14</f>
        <v>330681.8185838178</v>
      </c>
      <c r="R69" s="30">
        <f>R65*R14</f>
        <v>346934.5092129095</v>
      </c>
      <c r="S69" s="30">
        <f>S65*S14</f>
        <v>360811.88958142587</v>
      </c>
    </row>
    <row r="70" spans="1:19" x14ac:dyDescent="0.3">
      <c r="A70" s="1" t="s">
        <v>380</v>
      </c>
      <c r="B70" s="22"/>
      <c r="C70" s="22"/>
      <c r="D70" s="78">
        <f>Historicals!E168</f>
        <v>1500</v>
      </c>
      <c r="E70" s="88">
        <f>D70*(1+E15)</f>
        <v>15000</v>
      </c>
      <c r="F70" s="88">
        <f>E70*(1+F15)</f>
        <v>30000</v>
      </c>
      <c r="G70" s="88">
        <f>F70*(1+G15)</f>
        <v>48000</v>
      </c>
      <c r="H70" s="88">
        <f>G70*(1+H15)</f>
        <v>67200</v>
      </c>
      <c r="I70" s="88">
        <f>H70*(1+I15)</f>
        <v>87360</v>
      </c>
      <c r="J70" s="88">
        <f>I70*(1+J15)</f>
        <v>106579.2</v>
      </c>
      <c r="K70" s="88">
        <f>J70*(1+K15)</f>
        <v>124697.66399999999</v>
      </c>
      <c r="L70" s="88">
        <f>K70*(1+L15)</f>
        <v>140908.36031999998</v>
      </c>
      <c r="M70" s="88">
        <f>L70*(1+M15)</f>
        <v>154999.196352</v>
      </c>
      <c r="N70" s="88">
        <f>M70*(1+N15)</f>
        <v>167399.13206016002</v>
      </c>
      <c r="O70" s="88">
        <f>N70*(1+O15)</f>
        <v>177443.07998376962</v>
      </c>
      <c r="P70" s="88">
        <f>O70*(1+P15)</f>
        <v>186315.2339829581</v>
      </c>
      <c r="Q70" s="88">
        <f>P70*(1+Q15)</f>
        <v>193767.84334227644</v>
      </c>
      <c r="R70" s="88">
        <f>Q70*(1+R15)</f>
        <v>200549.71785925608</v>
      </c>
      <c r="S70" s="88">
        <f>R70*(1+S15)</f>
        <v>206566.20939503377</v>
      </c>
    </row>
    <row r="71" spans="1:19" x14ac:dyDescent="0.3">
      <c r="A71" s="1" t="s">
        <v>381</v>
      </c>
      <c r="B71" s="9"/>
      <c r="C71" s="9"/>
      <c r="D71" s="9"/>
      <c r="E71" s="30">
        <f>E65*E16</f>
        <v>42513.246749999998</v>
      </c>
      <c r="F71" s="30">
        <f>F65*F16</f>
        <v>89561.239820000003</v>
      </c>
      <c r="G71" s="30">
        <f>G65*G16</f>
        <v>144239.81564000002</v>
      </c>
      <c r="H71" s="30">
        <f>H65*H16</f>
        <v>203912.49886155</v>
      </c>
      <c r="I71" s="30">
        <f>I65*I16</f>
        <v>267594.12456729601</v>
      </c>
      <c r="J71" s="30">
        <f>J65*J16</f>
        <v>334872.38559881091</v>
      </c>
      <c r="K71" s="30">
        <f>K65*K16</f>
        <v>402075.89012332389</v>
      </c>
      <c r="L71" s="30">
        <f>L65*L16</f>
        <v>466443.42896618659</v>
      </c>
      <c r="M71" s="30">
        <f>M65*M16</f>
        <v>521598.26332411345</v>
      </c>
      <c r="N71" s="30">
        <f>N65*N16</f>
        <v>572849.69105552766</v>
      </c>
      <c r="O71" s="30">
        <f>O65*O16</f>
        <v>620551.76032016065</v>
      </c>
      <c r="P71" s="30">
        <f>P65*P16</f>
        <v>663458.17551221256</v>
      </c>
      <c r="Q71" s="30">
        <f>Q65*Q16</f>
        <v>702698.86449061276</v>
      </c>
      <c r="R71" s="30">
        <f>R65*R16</f>
        <v>737235.83207743254</v>
      </c>
      <c r="S71" s="30">
        <f>S65*S16</f>
        <v>766725.26536052988</v>
      </c>
    </row>
    <row r="72" spans="1:19" x14ac:dyDescent="0.3">
      <c r="A72" s="3" t="s">
        <v>382</v>
      </c>
      <c r="B72" s="69"/>
      <c r="C72" s="69"/>
      <c r="D72" s="69"/>
      <c r="E72" s="89">
        <f>E71/AVERAGE(D70,E70)</f>
        <v>5.1531208181818178</v>
      </c>
      <c r="F72" s="89">
        <f>F71/AVERAGE(E70,F70)</f>
        <v>3.9804995475555556</v>
      </c>
      <c r="G72" s="89">
        <f>G71/AVERAGE(F70,G70)</f>
        <v>3.6984568112820515</v>
      </c>
      <c r="H72" s="89">
        <f>H71/AVERAGE(G70,H70)</f>
        <v>3.5401475496796877</v>
      </c>
      <c r="I72" s="89">
        <f>I71/AVERAGE(H70,I70)</f>
        <v>3.4626568913987579</v>
      </c>
      <c r="J72" s="89">
        <f>J71/AVERAGE(I70,J70)</f>
        <v>3.453374929862667</v>
      </c>
      <c r="K72" s="89">
        <f>K71/AVERAGE(J70,K70)</f>
        <v>3.4770091843110071</v>
      </c>
      <c r="L72" s="89">
        <f>L71/AVERAGE(K70,L70)</f>
        <v>3.512295552485055</v>
      </c>
      <c r="M72" s="89">
        <f>M71/AVERAGE(L70,M70)</f>
        <v>3.5254136068061372</v>
      </c>
      <c r="N72" s="89">
        <f>N71/AVERAGE(M70,N70)</f>
        <v>3.5536765582927337</v>
      </c>
      <c r="O72" s="89">
        <f>O71/AVERAGE(N70,O70)</f>
        <v>3.599047556516128</v>
      </c>
      <c r="P72" s="89">
        <f>P71/AVERAGE(O70,P70)</f>
        <v>3.647796627806549</v>
      </c>
      <c r="Q72" s="89">
        <f>Q71/AVERAGE(P70,Q70)</f>
        <v>3.6976066887046279</v>
      </c>
      <c r="R72" s="89">
        <f>R71/AVERAGE(Q70,R70)</f>
        <v>3.739300019157084</v>
      </c>
      <c r="S72" s="89">
        <f>S71/AVERAGE(R70,S70)</f>
        <v>3.7666188622565158</v>
      </c>
    </row>
    <row r="73" spans="1:19" x14ac:dyDescent="0.3">
      <c r="A73" s="1" t="s">
        <v>383</v>
      </c>
      <c r="B73" s="9"/>
      <c r="C73" s="9"/>
      <c r="D73" s="9"/>
      <c r="E73" s="30">
        <f>E65-E71</f>
        <v>11990.91575</v>
      </c>
      <c r="F73" s="30">
        <f>F65-F71</f>
        <v>23807.418179999993</v>
      </c>
      <c r="G73" s="30">
        <f>G65-G71</f>
        <v>36059.953909999982</v>
      </c>
      <c r="H73" s="30">
        <f>H65-H71</f>
        <v>47831.326893449994</v>
      </c>
      <c r="I73" s="30">
        <f>I65-I71</f>
        <v>58740.173685504007</v>
      </c>
      <c r="J73" s="30">
        <f>J65-J71</f>
        <v>68588.319941925118</v>
      </c>
      <c r="K73" s="30">
        <f>K65-K71</f>
        <v>76585.883833014057</v>
      </c>
      <c r="L73" s="30">
        <f>L65-L71</f>
        <v>82313.546288150596</v>
      </c>
      <c r="M73" s="30">
        <f>M65-M71</f>
        <v>92046.752351314179</v>
      </c>
      <c r="N73" s="30">
        <f>N65-N71</f>
        <v>101091.1219509755</v>
      </c>
      <c r="O73" s="30">
        <f>O65-O71</f>
        <v>109509.13417414599</v>
      </c>
      <c r="P73" s="30">
        <f>P65-P71</f>
        <v>117080.85450215521</v>
      </c>
      <c r="Q73" s="30">
        <f>Q65-Q71</f>
        <v>124005.68196893169</v>
      </c>
      <c r="R73" s="30">
        <f>R65-R71</f>
        <v>130100.44095484109</v>
      </c>
      <c r="S73" s="30">
        <f>S65-S71</f>
        <v>135304.45859303477</v>
      </c>
    </row>
    <row r="74" spans="1:19" ht="3" customHeight="1" x14ac:dyDescent="0.3"/>
    <row r="75" spans="1:19" x14ac:dyDescent="0.3">
      <c r="A75" s="5" t="s">
        <v>384</v>
      </c>
      <c r="B75" s="5"/>
      <c r="C75" s="5"/>
      <c r="D75" s="5"/>
      <c r="E75" s="5"/>
      <c r="F75" s="5"/>
      <c r="G75" s="5"/>
      <c r="H75" s="5"/>
      <c r="I75" s="5"/>
      <c r="J75" s="5"/>
      <c r="K75" s="5"/>
      <c r="L75" s="5"/>
      <c r="M75" s="5"/>
      <c r="N75" s="5"/>
      <c r="O75" s="5"/>
      <c r="P75" s="5"/>
      <c r="Q75" s="5"/>
      <c r="R75" s="5"/>
      <c r="S75" s="5"/>
    </row>
    <row r="76" spans="1:19" x14ac:dyDescent="0.3">
      <c r="A76" s="1" t="s">
        <v>385</v>
      </c>
      <c r="B76" s="9"/>
      <c r="C76" s="9"/>
      <c r="D76" s="9"/>
      <c r="E76" s="30">
        <f>E65*E17</f>
        <v>16351.248749999999</v>
      </c>
      <c r="F76" s="30">
        <f>F65*F17</f>
        <v>32310.067529999997</v>
      </c>
      <c r="G76" s="30">
        <f>G65*G17</f>
        <v>48680.937778500003</v>
      </c>
      <c r="H76" s="30">
        <f>H65*H17</f>
        <v>64194.675567525002</v>
      </c>
      <c r="I76" s="30">
        <f>I65*I17</f>
        <v>78320.231580672</v>
      </c>
      <c r="J76" s="30">
        <f>J65*J17</f>
        <v>92795.962274369289</v>
      </c>
      <c r="K76" s="30">
        <f>K65*K17</f>
        <v>105305.59027039434</v>
      </c>
      <c r="L76" s="30">
        <f>L65*L17</f>
        <v>117982.7496796825</v>
      </c>
      <c r="M76" s="30">
        <f>M65*M17</f>
        <v>128865.4532918398</v>
      </c>
      <c r="N76" s="30">
        <f>N65*N17</f>
        <v>138157.86666633314</v>
      </c>
      <c r="O76" s="30">
        <f>O65*O17</f>
        <v>146012.17889886134</v>
      </c>
      <c r="P76" s="30">
        <f>P65*P17</f>
        <v>156107.80600287355</v>
      </c>
      <c r="Q76" s="30">
        <f>Q65*Q17</f>
        <v>165340.9092919089</v>
      </c>
      <c r="R76" s="30">
        <f>R65*R17</f>
        <v>173467.25460645475</v>
      </c>
      <c r="S76" s="30">
        <f>S65*S17</f>
        <v>180405.94479071294</v>
      </c>
    </row>
    <row r="77" spans="1:19" x14ac:dyDescent="0.3">
      <c r="A77" s="1" t="s">
        <v>386</v>
      </c>
      <c r="B77" s="9"/>
      <c r="C77" s="9"/>
      <c r="D77" s="9"/>
      <c r="E77" s="30">
        <f>E65*E18</f>
        <v>13626.040625</v>
      </c>
      <c r="F77" s="30">
        <f>F65*F18</f>
        <v>24941.104759999998</v>
      </c>
      <c r="G77" s="30">
        <f>G65*G18</f>
        <v>35158.455062250003</v>
      </c>
      <c r="H77" s="30">
        <f>H65*H18</f>
        <v>44055.169507125</v>
      </c>
      <c r="I77" s="30">
        <f>I65*I18</f>
        <v>52213.487720448</v>
      </c>
      <c r="J77" s="30">
        <f>J65*J18</f>
        <v>60519.105831110399</v>
      </c>
      <c r="K77" s="30">
        <f>K65*K18</f>
        <v>67012.648353887314</v>
      </c>
      <c r="L77" s="30">
        <f>L65*L18</f>
        <v>71338.406783063838</v>
      </c>
      <c r="M77" s="30">
        <f>M65*M18</f>
        <v>76705.626959428453</v>
      </c>
      <c r="N77" s="30">
        <f>N65*N18</f>
        <v>80872.897560780373</v>
      </c>
      <c r="O77" s="30">
        <f>O65*O18</f>
        <v>83957.002866845272</v>
      </c>
      <c r="P77" s="30">
        <f>P65*P18</f>
        <v>85859.293301580459</v>
      </c>
      <c r="Q77" s="30">
        <f>Q65*Q18</f>
        <v>90937.500110549896</v>
      </c>
      <c r="R77" s="30">
        <f>R65*R18</f>
        <v>95406.990033550101</v>
      </c>
      <c r="S77" s="30">
        <f>S65*S18</f>
        <v>99223.269634892116</v>
      </c>
    </row>
    <row r="78" spans="1:19" x14ac:dyDescent="0.3">
      <c r="A78" s="10" t="s">
        <v>387</v>
      </c>
      <c r="B78" s="87">
        <f>Historicals!B9</f>
        <v>433</v>
      </c>
      <c r="C78" s="87">
        <f>Historicals!C9</f>
        <v>2522</v>
      </c>
      <c r="D78" s="87">
        <f>Historicals!D9</f>
        <v>7326</v>
      </c>
      <c r="E78" s="34">
        <f>E76+E77</f>
        <v>29977.289375</v>
      </c>
      <c r="F78" s="34">
        <f>F76+F77</f>
        <v>57251.172289999995</v>
      </c>
      <c r="G78" s="34">
        <f>G76+G77</f>
        <v>83839.392840750006</v>
      </c>
      <c r="H78" s="34">
        <f>H76+H77</f>
        <v>108249.84507465</v>
      </c>
      <c r="I78" s="34">
        <f>I76+I77</f>
        <v>130533.71930112</v>
      </c>
      <c r="J78" s="34">
        <f>J76+J77</f>
        <v>153315.0681054797</v>
      </c>
      <c r="K78" s="34">
        <f>K76+K77</f>
        <v>172318.23862428166</v>
      </c>
      <c r="L78" s="34">
        <f>L76+L77</f>
        <v>189321.15646274632</v>
      </c>
      <c r="M78" s="34">
        <f>M76+M77</f>
        <v>205571.08025126826</v>
      </c>
      <c r="N78" s="34">
        <f>N76+N77</f>
        <v>219030.76422711351</v>
      </c>
      <c r="O78" s="34">
        <f>O76+O77</f>
        <v>229969.18176570663</v>
      </c>
      <c r="P78" s="34">
        <f>P76+P77</f>
        <v>241967.09930445399</v>
      </c>
      <c r="Q78" s="34">
        <f>Q76+Q77</f>
        <v>256278.40940245881</v>
      </c>
      <c r="R78" s="34">
        <f>R76+R77</f>
        <v>268874.24464000482</v>
      </c>
      <c r="S78" s="34">
        <f>S76+S77</f>
        <v>279629.21442560502</v>
      </c>
    </row>
    <row r="79" spans="1:19" x14ac:dyDescent="0.3">
      <c r="A79" s="3" t="s">
        <v>388</v>
      </c>
      <c r="B79" s="31">
        <f>B78/B65</f>
        <v>10.560975609756097</v>
      </c>
      <c r="C79" s="31">
        <f>C78/C65</f>
        <v>6.5336787564766841</v>
      </c>
      <c r="D79" s="31">
        <f>D78/D65</f>
        <v>1.5978189749182115</v>
      </c>
      <c r="E79" s="31">
        <f>E78/E65</f>
        <v>0.55000000000000004</v>
      </c>
      <c r="F79" s="31">
        <f>F78/F65</f>
        <v>0.505</v>
      </c>
      <c r="G79" s="31">
        <f>G78/G65</f>
        <v>0.46500000000000002</v>
      </c>
      <c r="H79" s="31">
        <f>H78/H65</f>
        <v>0.43</v>
      </c>
      <c r="I79" s="31">
        <f>I78/I65</f>
        <v>0.39999999999999997</v>
      </c>
      <c r="J79" s="31">
        <f>J78/J65</f>
        <v>0.38</v>
      </c>
      <c r="K79" s="31">
        <f>K78/K65</f>
        <v>0.36</v>
      </c>
      <c r="L79" s="31">
        <f>L78/L65</f>
        <v>0.34499999999999997</v>
      </c>
      <c r="M79" s="31">
        <f>M78/M65</f>
        <v>0.33500000000000002</v>
      </c>
      <c r="N79" s="31">
        <f>N78/N65</f>
        <v>0.32499999999999996</v>
      </c>
      <c r="O79" s="31">
        <f>O78/O65</f>
        <v>0.31500000000000006</v>
      </c>
      <c r="P79" s="31">
        <f>P78/P65</f>
        <v>0.31</v>
      </c>
      <c r="Q79" s="31">
        <f>Q78/Q65</f>
        <v>0.31000000000000005</v>
      </c>
      <c r="R79" s="31">
        <f>R78/R65</f>
        <v>0.31</v>
      </c>
      <c r="S79" s="31">
        <f>S78/S65</f>
        <v>0.31</v>
      </c>
    </row>
    <row r="80" spans="1:19" x14ac:dyDescent="0.3">
      <c r="A80" s="1" t="s">
        <v>389</v>
      </c>
      <c r="B80" s="90"/>
      <c r="C80" s="90"/>
      <c r="D80" s="91">
        <f>D78/$E$19</f>
        <v>0.61050000000000004</v>
      </c>
      <c r="E80" s="91">
        <f>E78/E19</f>
        <v>2.4981074479166665</v>
      </c>
      <c r="F80" s="91">
        <f>F78/F19</f>
        <v>4.8682969634353741</v>
      </c>
      <c r="G80" s="91">
        <f>G78/G19</f>
        <v>7.274693950502396</v>
      </c>
      <c r="H80" s="91">
        <f>H78/H19</f>
        <v>9.5844669501120041</v>
      </c>
      <c r="I80" s="91">
        <f>I78/I19</f>
        <v>11.793368445404937</v>
      </c>
      <c r="J80" s="91">
        <f>J78/J19</f>
        <v>14.134329132984208</v>
      </c>
      <c r="K80" s="91">
        <f>K78/K19</f>
        <v>16.21040616967683</v>
      </c>
      <c r="L80" s="91">
        <f>L78/L19</f>
        <v>18.173377150251628</v>
      </c>
      <c r="M80" s="91">
        <f>M78/M19</f>
        <v>20.135865714381953</v>
      </c>
      <c r="N80" s="91">
        <f>N78/N19</f>
        <v>21.892130357532587</v>
      </c>
      <c r="O80" s="91">
        <f>O78/O19</f>
        <v>23.45451577942729</v>
      </c>
      <c r="P80" s="91">
        <f>P78/P19</f>
        <v>25.181822839944012</v>
      </c>
      <c r="Q80" s="91">
        <f>Q78/Q19</f>
        <v>27.215598985032688</v>
      </c>
      <c r="R80" s="91">
        <f>R78/R19</f>
        <v>29.135837005732892</v>
      </c>
      <c r="S80" s="91">
        <f>S78/S19</f>
        <v>30.919780004379291</v>
      </c>
    </row>
    <row r="81" spans="1:19" x14ac:dyDescent="0.3">
      <c r="A81" s="1" t="s">
        <v>390</v>
      </c>
      <c r="B81" s="22"/>
      <c r="C81" s="22"/>
      <c r="D81" s="88">
        <f>D80*$E$20</f>
        <v>396.82500000000005</v>
      </c>
      <c r="E81" s="88">
        <f>E80*E20</f>
        <v>1623.7698411458332</v>
      </c>
      <c r="F81" s="88">
        <f>F80*F20</f>
        <v>3069.4612354460032</v>
      </c>
      <c r="G81" s="88">
        <f>G80*G20</f>
        <v>4449.2028201272651</v>
      </c>
      <c r="H81" s="88">
        <f>H80*H20</f>
        <v>5685.5057948064414</v>
      </c>
      <c r="I81" s="88">
        <f>I80*I20</f>
        <v>6785.9042034860004</v>
      </c>
      <c r="J81" s="88">
        <f>J80*J20</f>
        <v>7889.7825220317854</v>
      </c>
      <c r="K81" s="88">
        <f>K80*K20</f>
        <v>8776.313900263036</v>
      </c>
      <c r="L81" s="88">
        <f>L80*L20</f>
        <v>9544.6576793121567</v>
      </c>
      <c r="M81" s="88">
        <f>M80*M20</f>
        <v>10257.209994906167</v>
      </c>
      <c r="N81" s="88">
        <f>N80*N20</f>
        <v>10819.090822692604</v>
      </c>
      <c r="O81" s="88">
        <f>O80*O20</f>
        <v>11241.7494130795</v>
      </c>
      <c r="P81" s="88">
        <f>P80*P20</f>
        <v>11707.02943828997</v>
      </c>
      <c r="Q81" s="88">
        <f>Q80*Q20</f>
        <v>12274.235142249743</v>
      </c>
      <c r="R81" s="88">
        <f>R80*R20</f>
        <v>12746.928690008141</v>
      </c>
      <c r="S81" s="88">
        <f>S80*S20</f>
        <v>13119.262655858134</v>
      </c>
    </row>
    <row r="82" spans="1:19" x14ac:dyDescent="0.3">
      <c r="A82" s="1" t="s">
        <v>391</v>
      </c>
      <c r="B82" s="90"/>
      <c r="C82" s="90"/>
      <c r="D82" s="90"/>
      <c r="E82" s="91">
        <f>D85</f>
        <v>0</v>
      </c>
      <c r="F82" s="91">
        <f>E85</f>
        <v>0.18876074479166666</v>
      </c>
      <c r="G82" s="91">
        <f>F85</f>
        <v>0.66279864789540821</v>
      </c>
      <c r="H82" s="91">
        <f>G85</f>
        <v>1.3847177440155147</v>
      </c>
      <c r="I82" s="91">
        <f>H85</f>
        <v>2.1931382938788775</v>
      </c>
      <c r="J82" s="91">
        <f>I85</f>
        <v>3.0766988919960507</v>
      </c>
      <c r="K82" s="91">
        <f>J85</f>
        <v>4.0130831670277587</v>
      </c>
      <c r="L82" s="91">
        <f>K85</f>
        <v>4.8435139817048078</v>
      </c>
      <c r="M82" s="91">
        <f>L85</f>
        <v>5.6287023739347273</v>
      </c>
      <c r="N82" s="91">
        <f>M85</f>
        <v>6.4136977995868572</v>
      </c>
      <c r="O82" s="91">
        <f>N85</f>
        <v>7.1162036568471105</v>
      </c>
      <c r="P82" s="91">
        <f>O85</f>
        <v>7.7411578256049918</v>
      </c>
      <c r="Q82" s="91">
        <f>P85</f>
        <v>8.4320806498116809</v>
      </c>
      <c r="R82" s="91">
        <f>Q85</f>
        <v>9.2455911078471509</v>
      </c>
      <c r="S82" s="91">
        <f>R85</f>
        <v>10.013686316127233</v>
      </c>
    </row>
    <row r="83" spans="1:19" x14ac:dyDescent="0.3">
      <c r="A83" s="1" t="s">
        <v>392</v>
      </c>
      <c r="B83" s="90"/>
      <c r="C83" s="90"/>
      <c r="D83" s="90"/>
      <c r="E83" s="91">
        <f>MAX(0,E80-D80)</f>
        <v>1.8876074479166665</v>
      </c>
      <c r="F83" s="91">
        <f>MAX(0,F80-E80)</f>
        <v>2.3701895155187076</v>
      </c>
      <c r="G83" s="91">
        <f>MAX(0,G80-F80)</f>
        <v>2.4063969870670219</v>
      </c>
      <c r="H83" s="91">
        <f>MAX(0,H80-G80)</f>
        <v>2.3097729996096081</v>
      </c>
      <c r="I83" s="91">
        <f>MAX(0,I80-H80)</f>
        <v>2.2089014952929329</v>
      </c>
      <c r="J83" s="91">
        <f>MAX(0,J80-I80)</f>
        <v>2.3409606875792708</v>
      </c>
      <c r="K83" s="91">
        <f>MAX(0,K80-J80)</f>
        <v>2.076077036692622</v>
      </c>
      <c r="L83" s="91">
        <f>MAX(0,L80-K80)</f>
        <v>1.9629709805747986</v>
      </c>
      <c r="M83" s="91">
        <f>MAX(0,M80-L80)</f>
        <v>1.9624885641303251</v>
      </c>
      <c r="N83" s="91">
        <f>MAX(0,N80-M80)</f>
        <v>1.756264643150633</v>
      </c>
      <c r="O83" s="91">
        <f>MAX(0,O80-N80)</f>
        <v>1.5623854218947031</v>
      </c>
      <c r="P83" s="91">
        <f>MAX(0,P80-O80)</f>
        <v>1.727307060516722</v>
      </c>
      <c r="Q83" s="91">
        <f>MAX(0,Q80-P80)</f>
        <v>2.0337761450886767</v>
      </c>
      <c r="R83" s="91">
        <f>MAX(0,R80-Q80)</f>
        <v>1.9202380207002037</v>
      </c>
      <c r="S83" s="91">
        <f>MAX(0,S80-R80)</f>
        <v>1.783942998646399</v>
      </c>
    </row>
    <row r="84" spans="1:19" x14ac:dyDescent="0.3">
      <c r="A84" s="1" t="s">
        <v>393</v>
      </c>
      <c r="B84" s="90"/>
      <c r="C84" s="90"/>
      <c r="D84" s="90"/>
      <c r="E84" s="91">
        <f>E83*E21</f>
        <v>0.18876074479166666</v>
      </c>
      <c r="F84" s="91">
        <f>F83*F21</f>
        <v>0.47403790310374155</v>
      </c>
      <c r="G84" s="91">
        <f>G83*G21</f>
        <v>0.72191909612010652</v>
      </c>
      <c r="H84" s="91">
        <f>H83*H21</f>
        <v>0.80842054986336276</v>
      </c>
      <c r="I84" s="91">
        <f>I83*I21</f>
        <v>0.88356059811717325</v>
      </c>
      <c r="J84" s="91">
        <f>J83*J21</f>
        <v>0.9363842750317084</v>
      </c>
      <c r="K84" s="91">
        <f>K83*K21</f>
        <v>0.83043081467704882</v>
      </c>
      <c r="L84" s="91">
        <f>L83*L21</f>
        <v>0.78518839222991943</v>
      </c>
      <c r="M84" s="91">
        <f>M83*M21</f>
        <v>0.7849954256521301</v>
      </c>
      <c r="N84" s="91">
        <f>N83*N21</f>
        <v>0.70250585726025327</v>
      </c>
      <c r="O84" s="91">
        <f>O83*O21</f>
        <v>0.62495416875788123</v>
      </c>
      <c r="P84" s="91">
        <f>P83*P21</f>
        <v>0.69092282420668882</v>
      </c>
      <c r="Q84" s="91">
        <f>Q83*Q21</f>
        <v>0.81351045803547073</v>
      </c>
      <c r="R84" s="91">
        <f>R83*R21</f>
        <v>0.76809520828008149</v>
      </c>
      <c r="S84" s="91">
        <f>S83*S21</f>
        <v>0.71357719945855969</v>
      </c>
    </row>
    <row r="85" spans="1:19" x14ac:dyDescent="0.3">
      <c r="A85" s="1" t="s">
        <v>394</v>
      </c>
      <c r="B85" s="90"/>
      <c r="C85" s="90"/>
      <c r="D85" s="92">
        <v>0</v>
      </c>
      <c r="E85" s="91">
        <f>E82+E84</f>
        <v>0.18876074479166666</v>
      </c>
      <c r="F85" s="91">
        <f>F82+F84</f>
        <v>0.66279864789540821</v>
      </c>
      <c r="G85" s="91">
        <f>G82+G84</f>
        <v>1.3847177440155147</v>
      </c>
      <c r="H85" s="91">
        <f>H82+H84</f>
        <v>2.1931382938788775</v>
      </c>
      <c r="I85" s="91">
        <f>I82+I84</f>
        <v>3.0766988919960507</v>
      </c>
      <c r="J85" s="91">
        <f>J82+J84</f>
        <v>4.0130831670277587</v>
      </c>
      <c r="K85" s="91">
        <f>K82+K84</f>
        <v>4.8435139817048078</v>
      </c>
      <c r="L85" s="91">
        <f>L82+L84</f>
        <v>5.6287023739347273</v>
      </c>
      <c r="M85" s="91">
        <f>M82+M84</f>
        <v>6.4136977995868572</v>
      </c>
      <c r="N85" s="91">
        <f>N82+N84</f>
        <v>7.1162036568471105</v>
      </c>
      <c r="O85" s="91">
        <f>O82+O84</f>
        <v>7.7411578256049918</v>
      </c>
      <c r="P85" s="91">
        <f>P82+P84</f>
        <v>8.4320806498116809</v>
      </c>
      <c r="Q85" s="91">
        <f>Q82+Q84</f>
        <v>9.2455911078471509</v>
      </c>
      <c r="R85" s="91">
        <f>R82+R84</f>
        <v>10.013686316127233</v>
      </c>
      <c r="S85" s="91">
        <f>S82+S84</f>
        <v>10.727263515585792</v>
      </c>
    </row>
    <row r="86" spans="1:19" x14ac:dyDescent="0.3">
      <c r="A86" s="3" t="s">
        <v>395</v>
      </c>
      <c r="B86" s="75"/>
      <c r="C86" s="75"/>
      <c r="D86" s="75"/>
      <c r="E86" s="31">
        <f>IF(E80&gt;0,E85/E80,0)</f>
        <v>7.5561499546020913E-2</v>
      </c>
      <c r="F86" s="31">
        <f>IF(F80&gt;0,F85/F80,0)</f>
        <v>0.13614589514023731</v>
      </c>
      <c r="G86" s="31">
        <f>IF(G80&gt;0,G85/G80,0)</f>
        <v>0.19034721645161237</v>
      </c>
      <c r="H86" s="31">
        <f>IF(H80&gt;0,H85/H80,0)</f>
        <v>0.22882214580052868</v>
      </c>
      <c r="I86" s="31">
        <f>IF(I80&gt;0,I85/I80,0)</f>
        <v>0.26088380993428795</v>
      </c>
      <c r="J86" s="31">
        <f>IF(J80&gt;0,J85/J80,0)</f>
        <v>0.28392455908379349</v>
      </c>
      <c r="K86" s="31">
        <f>IF(K80&gt;0,K85/K80,0)</f>
        <v>0.29879041468837964</v>
      </c>
      <c r="L86" s="31">
        <f>IF(L80&gt;0,L85/L80,0)</f>
        <v>0.30972242128683236</v>
      </c>
      <c r="M86" s="31">
        <f>IF(M80&gt;0,M85/M80,0)</f>
        <v>0.31852108523975214</v>
      </c>
      <c r="N86" s="31">
        <f>IF(N80&gt;0,N85/N80,0)</f>
        <v>0.32505761388354726</v>
      </c>
      <c r="O86" s="31">
        <f>IF(O80&gt;0,O85/O80,0)</f>
        <v>0.33004978224257397</v>
      </c>
      <c r="P86" s="31">
        <f>IF(P80&gt;0,P85/P80,0)</f>
        <v>0.3348479061029892</v>
      </c>
      <c r="Q86" s="31">
        <f>IF(Q80&gt;0,Q85/Q80,0)</f>
        <v>0.33971661299579681</v>
      </c>
      <c r="R86" s="31">
        <f>IF(R80&gt;0,R85/R80,0)</f>
        <v>0.34368967379097076</v>
      </c>
      <c r="S86" s="31">
        <f>IF(S80&gt;0,S85/S80,0)</f>
        <v>0.34693854594264406</v>
      </c>
    </row>
    <row r="87" spans="1:19" x14ac:dyDescent="0.3">
      <c r="A87" s="1" t="s">
        <v>396</v>
      </c>
      <c r="B87" s="90"/>
      <c r="C87" s="90"/>
      <c r="D87" s="90"/>
      <c r="E87" s="91">
        <f>E80-E85</f>
        <v>2.3093467031249997</v>
      </c>
      <c r="F87" s="91">
        <f>F80-F85</f>
        <v>4.2054983155399661</v>
      </c>
      <c r="G87" s="91">
        <f>G80-G85</f>
        <v>5.8899762064868817</v>
      </c>
      <c r="H87" s="91">
        <f>H80-H85</f>
        <v>7.3913286562331262</v>
      </c>
      <c r="I87" s="91">
        <f>I80-I85</f>
        <v>8.7166695534088863</v>
      </c>
      <c r="J87" s="91">
        <f>J80-J85</f>
        <v>10.121245965956449</v>
      </c>
      <c r="K87" s="91">
        <f>K80-K85</f>
        <v>11.366892187972022</v>
      </c>
      <c r="L87" s="91">
        <f>L80-L85</f>
        <v>12.544674776316901</v>
      </c>
      <c r="M87" s="91">
        <f>M80-M85</f>
        <v>13.722167914795097</v>
      </c>
      <c r="N87" s="91">
        <f>N80-N85</f>
        <v>14.775926700685476</v>
      </c>
      <c r="O87" s="91">
        <f>O80-O85</f>
        <v>15.713357953822298</v>
      </c>
      <c r="P87" s="91">
        <f>P80-P85</f>
        <v>16.749742190132331</v>
      </c>
      <c r="Q87" s="91">
        <f>Q80-Q85</f>
        <v>17.970007877185537</v>
      </c>
      <c r="R87" s="91">
        <f>R80-R85</f>
        <v>19.122150689605661</v>
      </c>
      <c r="S87" s="91">
        <f>S80-S85</f>
        <v>20.192516488793501</v>
      </c>
    </row>
    <row r="88" spans="1:19" x14ac:dyDescent="0.3">
      <c r="A88" s="1" t="s">
        <v>397</v>
      </c>
      <c r="B88" s="22"/>
      <c r="C88" s="22"/>
      <c r="D88" s="22"/>
      <c r="E88" s="88">
        <f>E85*E20</f>
        <v>122.69448411458333</v>
      </c>
      <c r="F88" s="88">
        <f>F85*F20</f>
        <v>417.89454749805486</v>
      </c>
      <c r="G88" s="88">
        <f>G85*G20</f>
        <v>846.89337223988889</v>
      </c>
      <c r="H88" s="88">
        <f>H85*H20</f>
        <v>1300.9696359289503</v>
      </c>
      <c r="I88" s="88">
        <f>I85*I20</f>
        <v>1770.3325424545276</v>
      </c>
      <c r="J88" s="88">
        <f>J85*J20</f>
        <v>2240.1030238348949</v>
      </c>
      <c r="K88" s="88">
        <f>K85*K20</f>
        <v>2622.278469694983</v>
      </c>
      <c r="L88" s="88">
        <f>L85*L20</f>
        <v>2956.194486790519</v>
      </c>
      <c r="M88" s="88">
        <f>M85*M20</f>
        <v>3267.137659109545</v>
      </c>
      <c r="N88" s="88">
        <f>N85*N20</f>
        <v>3516.8278472138418</v>
      </c>
      <c r="O88" s="88">
        <f>O85*O20</f>
        <v>3710.3369458124725</v>
      </c>
      <c r="P88" s="88">
        <f>P85*P20</f>
        <v>3920.0742940974501</v>
      </c>
      <c r="Q88" s="88">
        <f>Q85*Q20</f>
        <v>4169.7615896390653</v>
      </c>
      <c r="R88" s="88">
        <f>R85*R20</f>
        <v>4380.987763305664</v>
      </c>
      <c r="S88" s="88">
        <f>S85*S20</f>
        <v>4551.5779096630513</v>
      </c>
    </row>
    <row r="89" spans="1:19" x14ac:dyDescent="0.3">
      <c r="A89" s="1" t="s">
        <v>398</v>
      </c>
      <c r="B89" s="9"/>
      <c r="C89" s="9"/>
      <c r="D89" s="9"/>
      <c r="E89" s="30">
        <f>MAX(0,E78-AVERAGE(E82,E85)*E19)</f>
        <v>28844.724906250001</v>
      </c>
      <c r="F89" s="30">
        <f t="shared" ref="F89:S89" si="0">MAX(0,F78-AVERAGE(F82,F85)*F19)</f>
        <v>52244.003060999996</v>
      </c>
      <c r="G89" s="30">
        <f t="shared" si="0"/>
        <v>72040.784384002502</v>
      </c>
      <c r="H89" s="30">
        <f t="shared" si="0"/>
        <v>88045.155350254689</v>
      </c>
      <c r="I89" s="30">
        <f t="shared" si="0"/>
        <v>101369.38634705097</v>
      </c>
      <c r="J89" s="30">
        <f t="shared" si="0"/>
        <v>114863.63510836408</v>
      </c>
      <c r="K89" s="30">
        <f t="shared" si="0"/>
        <v>125244.98194891063</v>
      </c>
      <c r="L89" s="30">
        <f t="shared" si="0"/>
        <v>134773.99952030889</v>
      </c>
      <c r="M89" s="30">
        <f t="shared" si="0"/>
        <v>144099.44432550998</v>
      </c>
      <c r="N89" s="30">
        <f t="shared" si="0"/>
        <v>151347.43219130259</v>
      </c>
      <c r="O89" s="30">
        <f t="shared" si="0"/>
        <v>157131.70996605931</v>
      </c>
      <c r="P89" s="30">
        <f t="shared" si="0"/>
        <v>164264.39237316215</v>
      </c>
      <c r="Q89" s="30">
        <f t="shared" si="0"/>
        <v>173046.62746587372</v>
      </c>
      <c r="R89" s="30">
        <f t="shared" si="0"/>
        <v>180009.04971417342</v>
      </c>
      <c r="S89" s="30">
        <f t="shared" si="0"/>
        <v>185841.75042907347</v>
      </c>
    </row>
    <row r="90" spans="1:19" x14ac:dyDescent="0.3">
      <c r="A90" s="1" t="s">
        <v>399</v>
      </c>
      <c r="B90" s="9"/>
      <c r="C90" s="9"/>
      <c r="D90" s="9"/>
      <c r="E90" s="30">
        <f>AVERAGE(E82,E85)*E23</f>
        <v>188.76074479166667</v>
      </c>
      <c r="F90" s="30">
        <f>AVERAGE(F82,F85)*F23</f>
        <v>868.59058054081629</v>
      </c>
      <c r="G90" s="30">
        <f>AVERAGE(G82,G85)*G23</f>
        <v>2130.2360541441249</v>
      </c>
      <c r="H90" s="30">
        <f>AVERAGE(H82,H85)*H23</f>
        <v>3796.8208274135291</v>
      </c>
      <c r="I90" s="30">
        <f>AVERAGE(I82,I85)*I23</f>
        <v>5704.3352618503168</v>
      </c>
      <c r="J90" s="30">
        <f>AVERAGE(J82,J85)*J23</f>
        <v>7827.8283713681876</v>
      </c>
      <c r="K90" s="30">
        <f>AVERAGE(K82,K85)*K23</f>
        <v>9973.8568790451809</v>
      </c>
      <c r="L90" s="30">
        <f>AVERAGE(L82,L85)*L23</f>
        <v>12029.434927723134</v>
      </c>
      <c r="M90" s="30">
        <f>AVERAGE(M82,M85)*M23</f>
        <v>14109.478163306567</v>
      </c>
      <c r="N90" s="30">
        <f>AVERAGE(N82,N85)*N23</f>
        <v>16169.585230584235</v>
      </c>
      <c r="O90" s="30">
        <f>AVERAGE(O82,O85)*O23</f>
        <v>18111.123647109114</v>
      </c>
      <c r="P90" s="30">
        <f>AVERAGE(P82,P85)*P23</f>
        <v>20108.996058409321</v>
      </c>
      <c r="Q90" s="30">
        <f>AVERAGE(Q82,Q85)*Q23</f>
        <v>22419.707206650812</v>
      </c>
      <c r="R90" s="30">
        <f>AVERAGE(R82,R85)*R23</f>
        <v>24913.801275653259</v>
      </c>
      <c r="S90" s="30">
        <f>AVERAGE(S82,S85)*S23</f>
        <v>27367.683302945337</v>
      </c>
    </row>
    <row r="91" spans="1:19" x14ac:dyDescent="0.3">
      <c r="A91" s="1" t="s">
        <v>400</v>
      </c>
      <c r="B91" s="9"/>
      <c r="C91" s="9"/>
      <c r="D91" s="9"/>
      <c r="E91" s="30">
        <f>AVERAGE(E82,E85)*E22/$E$24</f>
        <v>755.04297916666667</v>
      </c>
      <c r="F91" s="30">
        <f>AVERAGE(F82,F85)*F22/$E$24</f>
        <v>3269.9880679183671</v>
      </c>
      <c r="G91" s="30">
        <f>AVERAGE(G82,G85)*G22/$E$24</f>
        <v>7547.9644271404277</v>
      </c>
      <c r="H91" s="30">
        <f>AVERAGE(H82,H85)*H22/$E$24</f>
        <v>12661.81784674598</v>
      </c>
      <c r="I91" s="30">
        <f>AVERAGE(I82,I85)*I22/$E$24</f>
        <v>17903.692156919624</v>
      </c>
      <c r="J91" s="30">
        <f>AVERAGE(J82,J85)*J22/$E$24</f>
        <v>23123.253287685566</v>
      </c>
      <c r="K91" s="30">
        <f>AVERAGE(K82,K85)*K22/$E$24</f>
        <v>27730.271370596125</v>
      </c>
      <c r="L91" s="30">
        <f>AVERAGE(L82,L85)*L22/$E$24</f>
        <v>31477.283199617763</v>
      </c>
      <c r="M91" s="30">
        <f>AVERAGE(M82,M85)*M22/$E$24</f>
        <v>34749.068244706941</v>
      </c>
      <c r="N91" s="30">
        <f>AVERAGE(N82,N85)*N22/$E$24</f>
        <v>37479.721220525993</v>
      </c>
      <c r="O91" s="30">
        <f>AVERAGE(O82,O85)*O22/$E$24</f>
        <v>39510.627111129346</v>
      </c>
      <c r="P91" s="30">
        <f>AVERAGE(P82,P85)*P22/$E$24</f>
        <v>41289.63089819975</v>
      </c>
      <c r="Q91" s="30">
        <f>AVERAGE(Q82,Q85)*Q22/$E$24</f>
        <v>43325.145050540574</v>
      </c>
      <c r="R91" s="30">
        <f>AVERAGE(R82,R85)*R22/$E$24</f>
        <v>45313.420515901162</v>
      </c>
      <c r="S91" s="30">
        <f>AVERAGE(S82,S85)*S22/$E$24</f>
        <v>46847.375975391893</v>
      </c>
    </row>
    <row r="92" spans="1:19" x14ac:dyDescent="0.3">
      <c r="A92" s="1" t="s">
        <v>401</v>
      </c>
      <c r="B92" s="9"/>
      <c r="C92" s="9"/>
      <c r="D92" s="9"/>
      <c r="E92" s="30">
        <f>E84*E22+E82*E22/$E$24</f>
        <v>7550.4297916666665</v>
      </c>
      <c r="F92" s="30">
        <f>F84*F22+F82*F22/$E$24</f>
        <v>19652.737999183675</v>
      </c>
      <c r="G92" s="30">
        <f>G84*G22+G82*G22/$E$24</f>
        <v>31499.507430574871</v>
      </c>
      <c r="H92" s="30">
        <f>H84*H22+H82*H22/$E$24</f>
        <v>38410.384233347024</v>
      </c>
      <c r="I92" s="30">
        <f>I84*I22+I82*I22/$E$24</f>
        <v>44919.891620855356</v>
      </c>
      <c r="J92" s="30">
        <f>J84*J22+J82*J22/$E$24</f>
        <v>50609.32483024407</v>
      </c>
      <c r="K92" s="30">
        <f>K84*K22+K82*K22/$E$24</f>
        <v>51131.205513700654</v>
      </c>
      <c r="L92" s="30">
        <f>L84*L22+L82*L22/$E$24</f>
        <v>52718.285956944688</v>
      </c>
      <c r="M92" s="30">
        <f>M84*M22+M82*M22/$E$24</f>
        <v>55135.430848709788</v>
      </c>
      <c r="N92" s="30">
        <f>N84*N22+N82*N22/$E$24</f>
        <v>54994.077399404254</v>
      </c>
      <c r="O92" s="30">
        <f>O84*O22+O82*O22/$E$24</f>
        <v>54468.261437555419</v>
      </c>
      <c r="P92" s="30">
        <f>P84*P22+P82*P22/$E$24</f>
        <v>57164.715897780115</v>
      </c>
      <c r="Q92" s="30">
        <f>Q84*Q22+Q82*Q22/$E$24</f>
        <v>61269.20078928546</v>
      </c>
      <c r="R92" s="30">
        <f>R84*R22+R82*R22/$E$24</f>
        <v>61578.059298842294</v>
      </c>
      <c r="S92" s="30">
        <f>S84*S22+S82*S22/$E$24</f>
        <v>61353.123137197384</v>
      </c>
    </row>
    <row r="93" spans="1:19" x14ac:dyDescent="0.3">
      <c r="A93" s="3" t="s">
        <v>402</v>
      </c>
      <c r="B93" s="9"/>
      <c r="C93" s="9"/>
      <c r="D93" s="9"/>
      <c r="E93" s="30">
        <f>E78-E89-E90-E91</f>
        <v>188.76074479166562</v>
      </c>
      <c r="F93" s="30">
        <f>F78-F89-F90-F91</f>
        <v>868.59058054081561</v>
      </c>
      <c r="G93" s="30">
        <f>G78-G89-G90-G91</f>
        <v>2120.407975462952</v>
      </c>
      <c r="H93" s="30">
        <f>H78-H89-H90-H91</f>
        <v>3746.0510502358047</v>
      </c>
      <c r="I93" s="30">
        <f>I78-I89-I90-I91</f>
        <v>5556.3055352990923</v>
      </c>
      <c r="J93" s="30">
        <f>J78-J89-J90-J91</f>
        <v>7500.3513380618715</v>
      </c>
      <c r="K93" s="30">
        <f>K78-K89-K90-K91</f>
        <v>9369.1284257297193</v>
      </c>
      <c r="L93" s="30">
        <f>L78-L89-L90-L91</f>
        <v>11040.438815096531</v>
      </c>
      <c r="M93" s="30">
        <f>M78-M89-M90-M91</f>
        <v>12613.089517744775</v>
      </c>
      <c r="N93" s="30">
        <f>N78-N89-N90-N91</f>
        <v>14034.025584700692</v>
      </c>
      <c r="O93" s="30">
        <f>O78-O89-O90-O91</f>
        <v>15215.721041408862</v>
      </c>
      <c r="P93" s="30">
        <f>P78-P89-P90-P91</f>
        <v>16304.079974682776</v>
      </c>
      <c r="Q93" s="30">
        <f>Q78-Q89-Q90-Q91</f>
        <v>17486.929679393703</v>
      </c>
      <c r="R93" s="30">
        <f>R78-R89-R90-R91</f>
        <v>18637.973134276981</v>
      </c>
      <c r="S93" s="30">
        <f>S78-S89-S90-S91</f>
        <v>19572.404718194324</v>
      </c>
    </row>
    <row r="94" spans="1:19" ht="3" customHeight="1" x14ac:dyDescent="0.3"/>
    <row r="95" spans="1:19" x14ac:dyDescent="0.3">
      <c r="A95" s="5" t="s">
        <v>403</v>
      </c>
      <c r="B95" s="5"/>
      <c r="C95" s="5"/>
      <c r="D95" s="5"/>
      <c r="E95" s="5"/>
      <c r="F95" s="5"/>
      <c r="G95" s="5"/>
      <c r="H95" s="5"/>
      <c r="I95" s="5"/>
      <c r="J95" s="5"/>
      <c r="K95" s="5"/>
      <c r="L95" s="5"/>
      <c r="M95" s="5"/>
      <c r="N95" s="5"/>
      <c r="O95" s="5"/>
      <c r="P95" s="5"/>
      <c r="Q95" s="5"/>
      <c r="R95" s="5"/>
      <c r="S95" s="5"/>
    </row>
    <row r="96" spans="1:19" x14ac:dyDescent="0.3">
      <c r="A96" s="1" t="s">
        <v>404</v>
      </c>
      <c r="B96" s="22"/>
      <c r="C96" s="22"/>
      <c r="D96" s="22"/>
      <c r="E96" s="88">
        <f>E25</f>
        <v>6000</v>
      </c>
      <c r="F96" s="88">
        <f>E96*(1+F26)</f>
        <v>8100.0000000000009</v>
      </c>
      <c r="G96" s="88">
        <f>F96*(1+G26)</f>
        <v>10368.000000000002</v>
      </c>
      <c r="H96" s="88">
        <f>G96*(1+H26)</f>
        <v>12648.960000000003</v>
      </c>
      <c r="I96" s="88">
        <f>H96*(1+I26)</f>
        <v>14925.772800000002</v>
      </c>
      <c r="J96" s="88">
        <f>I96*(1+J26)</f>
        <v>17164.638720000003</v>
      </c>
      <c r="K96" s="88">
        <f>J96*(1+K26)</f>
        <v>19224.395366400004</v>
      </c>
      <c r="L96" s="88">
        <f>K96*(1+L26)</f>
        <v>21146.834903040006</v>
      </c>
      <c r="M96" s="88">
        <f>L96*(1+M26)</f>
        <v>22838.581695283206</v>
      </c>
      <c r="N96" s="88">
        <f>M96*(1+N26)</f>
        <v>24437.282413953031</v>
      </c>
      <c r="O96" s="88">
        <f>N96*(1+O26)</f>
        <v>25903.519358790214</v>
      </c>
      <c r="P96" s="88">
        <f>O96*(1+P26)</f>
        <v>27198.695326729725</v>
      </c>
      <c r="Q96" s="88">
        <f>P96*(1+Q26)</f>
        <v>28422.636616432559</v>
      </c>
      <c r="R96" s="88">
        <f>Q96*(1+R26)</f>
        <v>29559.542081089861</v>
      </c>
      <c r="S96" s="88">
        <f>R96*(1+S26)</f>
        <v>30594.126053928005</v>
      </c>
    </row>
    <row r="97" spans="1:19" x14ac:dyDescent="0.3">
      <c r="A97" s="1" t="s">
        <v>405</v>
      </c>
      <c r="B97" s="22"/>
      <c r="C97" s="22"/>
      <c r="D97" s="22"/>
      <c r="E97" s="78">
        <f>AVERAGE(Historicals!H172,E96)</f>
        <v>5650</v>
      </c>
      <c r="F97" s="88">
        <f>AVERAGE(E96,F96)</f>
        <v>7050</v>
      </c>
      <c r="G97" s="88">
        <f>AVERAGE(F96,G96)</f>
        <v>9234.0000000000018</v>
      </c>
      <c r="H97" s="88">
        <f>AVERAGE(G96,H96)</f>
        <v>11508.480000000003</v>
      </c>
      <c r="I97" s="88">
        <f>AVERAGE(H96,I96)</f>
        <v>13787.366400000003</v>
      </c>
      <c r="J97" s="88">
        <f>AVERAGE(I96,J96)</f>
        <v>16045.205760000003</v>
      </c>
      <c r="K97" s="88">
        <f>AVERAGE(J96,K96)</f>
        <v>18194.517043200001</v>
      </c>
      <c r="L97" s="88">
        <f>AVERAGE(K96,L96)</f>
        <v>20185.615134720007</v>
      </c>
      <c r="M97" s="88">
        <f>AVERAGE(L96,M96)</f>
        <v>21992.708299161604</v>
      </c>
      <c r="N97" s="88">
        <f>AVERAGE(M96,N96)</f>
        <v>23637.932054618119</v>
      </c>
      <c r="O97" s="88">
        <f>AVERAGE(N96,O96)</f>
        <v>25170.400886371623</v>
      </c>
      <c r="P97" s="88">
        <f>AVERAGE(O96,P96)</f>
        <v>26551.107342759969</v>
      </c>
      <c r="Q97" s="88">
        <f>AVERAGE(P96,Q96)</f>
        <v>27810.66597158114</v>
      </c>
      <c r="R97" s="88">
        <f>AVERAGE(Q96,R96)</f>
        <v>28991.089348761212</v>
      </c>
      <c r="S97" s="88">
        <f>AVERAGE(R96,S96)</f>
        <v>30076.834067508935</v>
      </c>
    </row>
    <row r="98" spans="1:19" x14ac:dyDescent="0.3">
      <c r="A98" s="1" t="s">
        <v>406</v>
      </c>
      <c r="B98" s="69"/>
      <c r="C98" s="69"/>
      <c r="D98" s="69"/>
      <c r="E98" s="89">
        <f>E27</f>
        <v>1.5</v>
      </c>
      <c r="F98" s="89">
        <f>E98*(1+F28)</f>
        <v>1.5750000000000002</v>
      </c>
      <c r="G98" s="89">
        <f>F98*(1+G28)</f>
        <v>1.6537500000000003</v>
      </c>
      <c r="H98" s="89">
        <f>G98*(1+H28)</f>
        <v>1.7364375000000003</v>
      </c>
      <c r="I98" s="89">
        <f>H98*(1+I28)</f>
        <v>1.8232593750000003</v>
      </c>
      <c r="J98" s="89">
        <f>I98*(1+J28)</f>
        <v>1.8961897500000005</v>
      </c>
      <c r="K98" s="89">
        <f>J98*(1+K28)</f>
        <v>1.9720373400000006</v>
      </c>
      <c r="L98" s="89">
        <f>K98*(1+L28)</f>
        <v>2.0509188336000008</v>
      </c>
      <c r="M98" s="89">
        <f>L98*(1+M28)</f>
        <v>2.1329555869440009</v>
      </c>
      <c r="N98" s="89">
        <f>M98*(1+N28)</f>
        <v>2.2182738104217612</v>
      </c>
      <c r="O98" s="89">
        <f>N98*(1+O28)</f>
        <v>2.3070047628386319</v>
      </c>
      <c r="P98" s="89">
        <f>O98*(1+P28)</f>
        <v>2.3992849533521774</v>
      </c>
      <c r="Q98" s="89">
        <f>P98*(1+Q28)</f>
        <v>2.4952563514862645</v>
      </c>
      <c r="R98" s="89">
        <f>Q98*(1+R28)</f>
        <v>2.595066605545715</v>
      </c>
      <c r="S98" s="89">
        <f>R98*(1+S28)</f>
        <v>2.6988692697675436</v>
      </c>
    </row>
    <row r="99" spans="1:19" x14ac:dyDescent="0.3">
      <c r="A99" s="1" t="s">
        <v>407</v>
      </c>
      <c r="B99" s="77">
        <f>Historicals!B10</f>
        <v>95</v>
      </c>
      <c r="C99" s="77">
        <f>Historicals!C10</f>
        <v>454</v>
      </c>
      <c r="D99" s="77">
        <f>Historicals!D10</f>
        <v>1839</v>
      </c>
      <c r="E99" s="30">
        <f>E45+E97*E98*(1-E50)</f>
        <v>7389.5</v>
      </c>
      <c r="F99" s="30">
        <f>F97*F98</f>
        <v>11103.750000000002</v>
      </c>
      <c r="G99" s="30">
        <f>G97*G98</f>
        <v>15270.727500000006</v>
      </c>
      <c r="H99" s="30">
        <f>H97*H98</f>
        <v>19983.75624000001</v>
      </c>
      <c r="I99" s="30">
        <f>I97*I98</f>
        <v>25137.945045360011</v>
      </c>
      <c r="J99" s="30">
        <f>J97*J98</f>
        <v>30424.754698752971</v>
      </c>
      <c r="K99" s="30">
        <f>K97*K98</f>
        <v>35880.266992456811</v>
      </c>
      <c r="L99" s="30">
        <f>L97*L98</f>
        <v>41399.058247598477</v>
      </c>
      <c r="M99" s="30">
        <f>M97*M98</f>
        <v>46909.470038726438</v>
      </c>
      <c r="N99" s="30">
        <f>N97*N98</f>
        <v>52435.405609288428</v>
      </c>
      <c r="O99" s="30">
        <f>O97*O98</f>
        <v>58068.234727417053</v>
      </c>
      <c r="P99" s="30">
        <f>P97*P98</f>
        <v>63703.672342322505</v>
      </c>
      <c r="Q99" s="30">
        <f>Q97*Q98</f>
        <v>69394.740904650767</v>
      </c>
      <c r="R99" s="30">
        <f>R97*R98</f>
        <v>75233.807827362296</v>
      </c>
      <c r="S99" s="30">
        <f>S97*S98</f>
        <v>81173.443196697423</v>
      </c>
    </row>
    <row r="100" spans="1:19" x14ac:dyDescent="0.3">
      <c r="A100" s="3" t="s">
        <v>408</v>
      </c>
      <c r="B100" s="77">
        <f>Historicals!B25</f>
        <v>29</v>
      </c>
      <c r="C100" s="77">
        <f>Historicals!C25</f>
        <v>192</v>
      </c>
      <c r="D100" s="77">
        <f>Historicals!D25</f>
        <v>1158</v>
      </c>
      <c r="E100" s="30">
        <f>E48+(E99-E45)*E29</f>
        <v>4939.375</v>
      </c>
      <c r="F100" s="30">
        <f>F99*F29</f>
        <v>6662.2500000000009</v>
      </c>
      <c r="G100" s="30">
        <f>G99*G29</f>
        <v>8398.9001250000038</v>
      </c>
      <c r="H100" s="30">
        <f>H99*H29</f>
        <v>9991.8781200000049</v>
      </c>
      <c r="I100" s="30">
        <f>I99*I29</f>
        <v>11563.454720865606</v>
      </c>
      <c r="J100" s="30">
        <f>J99*J29</f>
        <v>12778.396973476247</v>
      </c>
      <c r="K100" s="30">
        <f>K99*K29</f>
        <v>14352.106796982725</v>
      </c>
      <c r="L100" s="30">
        <f>L99*L29</f>
        <v>15731.642134087422</v>
      </c>
      <c r="M100" s="30">
        <f>M99*M29</f>
        <v>16887.409213941519</v>
      </c>
      <c r="N100" s="30">
        <f>N99*N29</f>
        <v>18352.39196325095</v>
      </c>
      <c r="O100" s="30">
        <f>O99*O29</f>
        <v>19743.199807321798</v>
      </c>
      <c r="P100" s="30">
        <f>P99*P29</f>
        <v>21022.211872966429</v>
      </c>
      <c r="Q100" s="30">
        <f>Q99*Q29</f>
        <v>22206.317089488246</v>
      </c>
      <c r="R100" s="30">
        <f>R99*R29</f>
        <v>23322.480426482311</v>
      </c>
      <c r="S100" s="30">
        <f>S99*S29</f>
        <v>24352.032959009226</v>
      </c>
    </row>
    <row r="101" spans="1:19" x14ac:dyDescent="0.3">
      <c r="A101" s="3" t="s">
        <v>409</v>
      </c>
      <c r="B101" s="30">
        <f>B99-B100</f>
        <v>66</v>
      </c>
      <c r="C101" s="30">
        <f>C99-C100</f>
        <v>262</v>
      </c>
      <c r="D101" s="30">
        <f>D99-D100</f>
        <v>681</v>
      </c>
      <c r="E101" s="30">
        <f>E99-E100</f>
        <v>2450.125</v>
      </c>
      <c r="F101" s="30">
        <f>F99-F100</f>
        <v>4441.5000000000009</v>
      </c>
      <c r="G101" s="30">
        <f>G99-G100</f>
        <v>6871.8273750000026</v>
      </c>
      <c r="H101" s="30">
        <f>H99-H100</f>
        <v>9991.8781200000049</v>
      </c>
      <c r="I101" s="30">
        <f>I99-I100</f>
        <v>13574.490324494405</v>
      </c>
      <c r="J101" s="30">
        <f>J99-J100</f>
        <v>17646.357725276725</v>
      </c>
      <c r="K101" s="30">
        <f>K99-K100</f>
        <v>21528.160195474084</v>
      </c>
      <c r="L101" s="30">
        <f>L99-L100</f>
        <v>25667.416113511055</v>
      </c>
      <c r="M101" s="30">
        <f>M99-M100</f>
        <v>30022.06082478492</v>
      </c>
      <c r="N101" s="30">
        <f>N99-N100</f>
        <v>34083.013646037478</v>
      </c>
      <c r="O101" s="30">
        <f>O99-O100</f>
        <v>38325.034920095255</v>
      </c>
      <c r="P101" s="30">
        <f>P99-P100</f>
        <v>42681.460469356076</v>
      </c>
      <c r="Q101" s="30">
        <f>Q99-Q100</f>
        <v>47188.423815162518</v>
      </c>
      <c r="R101" s="30">
        <f>R99-R100</f>
        <v>51911.327400879985</v>
      </c>
      <c r="S101" s="30">
        <f>S99-S100</f>
        <v>56821.410237688193</v>
      </c>
    </row>
    <row r="102" spans="1:19" x14ac:dyDescent="0.3">
      <c r="A102" s="1" t="s">
        <v>410</v>
      </c>
      <c r="B102" s="77">
        <f>Historicals!B12</f>
        <v>2</v>
      </c>
      <c r="C102" s="77">
        <f>Historicals!C12</f>
        <v>43</v>
      </c>
      <c r="D102" s="77">
        <f>Historicals!D12</f>
        <v>568</v>
      </c>
      <c r="E102" s="30">
        <f>E46+E51*E30</f>
        <v>10429.450874999999</v>
      </c>
      <c r="F102" s="30">
        <f>F65*F30</f>
        <v>19272.671860000002</v>
      </c>
      <c r="G102" s="30">
        <f>G65*G30</f>
        <v>27946.464280249998</v>
      </c>
      <c r="H102" s="30">
        <f>H65*H30</f>
        <v>36502.854734474997</v>
      </c>
      <c r="I102" s="30">
        <f>I65*I30</f>
        <v>44055.130264128005</v>
      </c>
      <c r="J102" s="30">
        <f>J65*J30</f>
        <v>50432.588192592004</v>
      </c>
      <c r="K102" s="30">
        <f>K65*K30</f>
        <v>57439.41287476055</v>
      </c>
      <c r="L102" s="30">
        <f>L65*L30</f>
        <v>63107.052154248777</v>
      </c>
      <c r="M102" s="30">
        <f>M65*M30</f>
        <v>67500.951724297032</v>
      </c>
      <c r="N102" s="30">
        <f>N65*N30</f>
        <v>74133.489430715344</v>
      </c>
      <c r="O102" s="30">
        <f>O65*O30</f>
        <v>80306.698394373729</v>
      </c>
      <c r="P102" s="30">
        <f>P65*P30</f>
        <v>85859.293301580459</v>
      </c>
      <c r="Q102" s="30">
        <f>Q65*Q30</f>
        <v>90937.500110549896</v>
      </c>
      <c r="R102" s="30">
        <f>R65*R30</f>
        <v>95406.990033550101</v>
      </c>
      <c r="S102" s="30">
        <f>S65*S30</f>
        <v>99223.269634892116</v>
      </c>
    </row>
    <row r="103" spans="1:19" x14ac:dyDescent="0.3">
      <c r="A103" s="1" t="s">
        <v>411</v>
      </c>
      <c r="B103" s="77">
        <f>Historicals!B13</f>
        <v>62</v>
      </c>
      <c r="C103" s="77">
        <f>Historicals!C13</f>
        <v>347</v>
      </c>
      <c r="D103" s="77">
        <f>Historicals!D13</f>
        <v>1412</v>
      </c>
      <c r="E103" s="30">
        <f>E47+E51*E31</f>
        <v>5535.8162499999999</v>
      </c>
      <c r="F103" s="30">
        <f>F65*F31</f>
        <v>10203.17922</v>
      </c>
      <c r="G103" s="30">
        <f>G65*G31</f>
        <v>14423.981564</v>
      </c>
      <c r="H103" s="30">
        <f>H65*H31</f>
        <v>18880.786931625</v>
      </c>
      <c r="I103" s="30">
        <f>I65*I31</f>
        <v>22843.400877696004</v>
      </c>
      <c r="J103" s="30">
        <f>J65*J31</f>
        <v>26224.945860147844</v>
      </c>
      <c r="K103" s="30">
        <f>K65*K31</f>
        <v>28719.706437380275</v>
      </c>
      <c r="L103" s="30">
        <f>L65*L31</f>
        <v>32925.418515260229</v>
      </c>
      <c r="M103" s="30">
        <f>M65*M31</f>
        <v>33750.475862148516</v>
      </c>
      <c r="N103" s="30">
        <f>N65*N31</f>
        <v>37066.744715357672</v>
      </c>
      <c r="O103" s="30">
        <f>O65*O31</f>
        <v>40153.349197186864</v>
      </c>
      <c r="P103" s="30">
        <f>P65*P31</f>
        <v>42929.64665079023</v>
      </c>
      <c r="Q103" s="30">
        <f>Q65*Q31</f>
        <v>45468.750055274948</v>
      </c>
      <c r="R103" s="30">
        <f>R65*R31</f>
        <v>47703.49501677505</v>
      </c>
      <c r="S103" s="30">
        <f>S65*S31</f>
        <v>49611.634817446058</v>
      </c>
    </row>
    <row r="104" spans="1:19" x14ac:dyDescent="0.3">
      <c r="A104" s="3" t="s">
        <v>412</v>
      </c>
      <c r="B104" s="36"/>
      <c r="C104" s="36"/>
      <c r="D104" s="36"/>
      <c r="E104" s="93">
        <f>E65/E97</f>
        <v>9.6467544247787611</v>
      </c>
      <c r="F104" s="93">
        <f>F65/F97</f>
        <v>16.080660709219856</v>
      </c>
      <c r="G104" s="93">
        <f>G65/G97</f>
        <v>19.525641060212255</v>
      </c>
      <c r="H104" s="93">
        <f>H65/H97</f>
        <v>21.874637289633377</v>
      </c>
      <c r="I104" s="93">
        <f>I65/I97</f>
        <v>23.669081446388482</v>
      </c>
      <c r="J104" s="93">
        <f>J65/J97</f>
        <v>25.145249713565278</v>
      </c>
      <c r="K104" s="93">
        <f>K65/K97</f>
        <v>26.308023061004111</v>
      </c>
      <c r="L104" s="93">
        <f>L65/L97</f>
        <v>27.185546320580286</v>
      </c>
      <c r="M104" s="93">
        <f>M65/M97</f>
        <v>27.902203190628445</v>
      </c>
      <c r="N104" s="93">
        <f>N65/N97</f>
        <v>28.510988670636948</v>
      </c>
      <c r="O104" s="93">
        <f>O65/O97</f>
        <v>29.004738454109969</v>
      </c>
      <c r="P104" s="93">
        <f>P65/P97</f>
        <v>29.397607411926167</v>
      </c>
      <c r="Q104" s="93">
        <f>Q65/Q97</f>
        <v>29.726168632722722</v>
      </c>
      <c r="R104" s="93">
        <f>R65/R97</f>
        <v>29.917339862544175</v>
      </c>
      <c r="S104" s="93">
        <f>S65/S97</f>
        <v>29.990846840093425</v>
      </c>
    </row>
    <row r="105" spans="1:19" ht="3" customHeight="1" x14ac:dyDescent="0.3"/>
    <row r="106" spans="1:19" x14ac:dyDescent="0.3">
      <c r="A106" s="5" t="s">
        <v>413</v>
      </c>
      <c r="B106" s="5"/>
      <c r="C106" s="5"/>
      <c r="D106" s="5"/>
      <c r="E106" s="5"/>
      <c r="F106" s="5"/>
      <c r="G106" s="5"/>
      <c r="H106" s="5"/>
      <c r="I106" s="5"/>
      <c r="J106" s="5"/>
      <c r="K106" s="5"/>
      <c r="L106" s="5"/>
      <c r="M106" s="5"/>
      <c r="N106" s="5"/>
      <c r="O106" s="5"/>
      <c r="P106" s="5"/>
      <c r="Q106" s="5"/>
      <c r="R106" s="5"/>
      <c r="S106" s="5"/>
    </row>
    <row r="107" spans="1:19" x14ac:dyDescent="0.3">
      <c r="A107" s="10" t="s">
        <v>14</v>
      </c>
      <c r="B107" s="34">
        <f>B65</f>
        <v>41</v>
      </c>
      <c r="C107" s="34">
        <f>C65</f>
        <v>386</v>
      </c>
      <c r="D107" s="34">
        <f>D65</f>
        <v>4585</v>
      </c>
      <c r="E107" s="34">
        <f>E65</f>
        <v>54504.162499999999</v>
      </c>
      <c r="F107" s="34">
        <f>F65</f>
        <v>113368.658</v>
      </c>
      <c r="G107" s="34">
        <f>G65</f>
        <v>180299.76955</v>
      </c>
      <c r="H107" s="34">
        <f>H65</f>
        <v>251743.825755</v>
      </c>
      <c r="I107" s="34">
        <f>I65</f>
        <v>326334.29825280001</v>
      </c>
      <c r="J107" s="34">
        <f>J65</f>
        <v>403460.70554073603</v>
      </c>
      <c r="K107" s="34">
        <f>K65</f>
        <v>478661.77395633794</v>
      </c>
      <c r="L107" s="34">
        <f>L65</f>
        <v>548756.97525433719</v>
      </c>
      <c r="M107" s="34">
        <f>M65</f>
        <v>613645.01567542762</v>
      </c>
      <c r="N107" s="34">
        <f>N65</f>
        <v>673940.81300650316</v>
      </c>
      <c r="O107" s="34">
        <f>O65</f>
        <v>730060.89449430665</v>
      </c>
      <c r="P107" s="34">
        <f>P65</f>
        <v>780539.03001436777</v>
      </c>
      <c r="Q107" s="34">
        <f>Q65</f>
        <v>826704.54645954445</v>
      </c>
      <c r="R107" s="34">
        <f>R65</f>
        <v>867336.27303227363</v>
      </c>
      <c r="S107" s="34">
        <f>S65</f>
        <v>902029.72395356465</v>
      </c>
    </row>
    <row r="108" spans="1:19" x14ac:dyDescent="0.3">
      <c r="A108" s="1" t="s">
        <v>414</v>
      </c>
      <c r="B108" s="77">
        <f>Historicals!B9</f>
        <v>433</v>
      </c>
      <c r="C108" s="77">
        <f>Historicals!C9</f>
        <v>2522</v>
      </c>
      <c r="D108" s="77">
        <f>Historicals!D9</f>
        <v>7326</v>
      </c>
      <c r="E108" s="30">
        <f>E44+E51*(E89+E90)/E65</f>
        <v>29303.196909326489</v>
      </c>
      <c r="F108" s="30">
        <f>F89+F90</f>
        <v>53112.593641540814</v>
      </c>
      <c r="G108" s="30">
        <f>G89+G90</f>
        <v>74171.020438146632</v>
      </c>
      <c r="H108" s="30">
        <f>H89+H90</f>
        <v>91841.976177668213</v>
      </c>
      <c r="I108" s="30">
        <f>I89+I90</f>
        <v>107073.72160890128</v>
      </c>
      <c r="J108" s="30">
        <f>J89+J90</f>
        <v>122691.46347973227</v>
      </c>
      <c r="K108" s="30">
        <f>K89+K90</f>
        <v>135218.8388279558</v>
      </c>
      <c r="L108" s="30">
        <f>L89+L90</f>
        <v>146803.43444803203</v>
      </c>
      <c r="M108" s="30">
        <f>M89+M90</f>
        <v>158208.92248881655</v>
      </c>
      <c r="N108" s="30">
        <f>N89+N90</f>
        <v>167517.01742188682</v>
      </c>
      <c r="O108" s="30">
        <f>O89+O90</f>
        <v>175242.83361316842</v>
      </c>
      <c r="P108" s="30">
        <f>P89+P90</f>
        <v>184373.38843157148</v>
      </c>
      <c r="Q108" s="30">
        <f>Q89+Q90</f>
        <v>195466.33467252454</v>
      </c>
      <c r="R108" s="30">
        <f>R89+R90</f>
        <v>204922.85098982669</v>
      </c>
      <c r="S108" s="30">
        <f>S89+S90</f>
        <v>213209.43373201881</v>
      </c>
    </row>
    <row r="109" spans="1:19" x14ac:dyDescent="0.3">
      <c r="A109" s="1" t="s">
        <v>17</v>
      </c>
      <c r="B109" s="30">
        <f>B99</f>
        <v>95</v>
      </c>
      <c r="C109" s="30">
        <f>C99</f>
        <v>454</v>
      </c>
      <c r="D109" s="30">
        <f>D99</f>
        <v>1839</v>
      </c>
      <c r="E109" s="30">
        <f>E99</f>
        <v>7389.5</v>
      </c>
      <c r="F109" s="30">
        <f>F99</f>
        <v>11103.750000000002</v>
      </c>
      <c r="G109" s="30">
        <f>G99</f>
        <v>15270.727500000006</v>
      </c>
      <c r="H109" s="30">
        <f>H99</f>
        <v>19983.75624000001</v>
      </c>
      <c r="I109" s="30">
        <f>I99</f>
        <v>25137.945045360011</v>
      </c>
      <c r="J109" s="30">
        <f>J99</f>
        <v>30424.754698752971</v>
      </c>
      <c r="K109" s="30">
        <f>K99</f>
        <v>35880.266992456811</v>
      </c>
      <c r="L109" s="30">
        <f>L99</f>
        <v>41399.058247598477</v>
      </c>
      <c r="M109" s="30">
        <f>M99</f>
        <v>46909.470038726438</v>
      </c>
      <c r="N109" s="30">
        <f>N99</f>
        <v>52435.405609288428</v>
      </c>
      <c r="O109" s="30">
        <f>O99</f>
        <v>58068.234727417053</v>
      </c>
      <c r="P109" s="30">
        <f>P99</f>
        <v>63703.672342322505</v>
      </c>
      <c r="Q109" s="30">
        <f>Q99</f>
        <v>69394.740904650767</v>
      </c>
      <c r="R109" s="30">
        <f>R99</f>
        <v>75233.807827362296</v>
      </c>
      <c r="S109" s="30">
        <f>S99</f>
        <v>81173.443196697423</v>
      </c>
    </row>
    <row r="110" spans="1:19" x14ac:dyDescent="0.3">
      <c r="A110" s="1" t="s">
        <v>415</v>
      </c>
      <c r="B110" s="30">
        <f>B102</f>
        <v>2</v>
      </c>
      <c r="C110" s="30">
        <f>C102</f>
        <v>43</v>
      </c>
      <c r="D110" s="30">
        <f>D102</f>
        <v>568</v>
      </c>
      <c r="E110" s="30">
        <f>E102</f>
        <v>10429.450874999999</v>
      </c>
      <c r="F110" s="30">
        <f>F102</f>
        <v>19272.671860000002</v>
      </c>
      <c r="G110" s="30">
        <f>G102</f>
        <v>27946.464280249998</v>
      </c>
      <c r="H110" s="30">
        <f>H102</f>
        <v>36502.854734474997</v>
      </c>
      <c r="I110" s="30">
        <f>I102</f>
        <v>44055.130264128005</v>
      </c>
      <c r="J110" s="30">
        <f>J102</f>
        <v>50432.588192592004</v>
      </c>
      <c r="K110" s="30">
        <f>K102</f>
        <v>57439.41287476055</v>
      </c>
      <c r="L110" s="30">
        <f>L102</f>
        <v>63107.052154248777</v>
      </c>
      <c r="M110" s="30">
        <f>M102</f>
        <v>67500.951724297032</v>
      </c>
      <c r="N110" s="30">
        <f>N102</f>
        <v>74133.489430715344</v>
      </c>
      <c r="O110" s="30">
        <f>O102</f>
        <v>80306.698394373729</v>
      </c>
      <c r="P110" s="30">
        <f>P102</f>
        <v>85859.293301580459</v>
      </c>
      <c r="Q110" s="30">
        <f>Q102</f>
        <v>90937.500110549896</v>
      </c>
      <c r="R110" s="30">
        <f>R102</f>
        <v>95406.990033550101</v>
      </c>
      <c r="S110" s="30">
        <f>S102</f>
        <v>99223.269634892116</v>
      </c>
    </row>
    <row r="111" spans="1:19" x14ac:dyDescent="0.3">
      <c r="A111" s="1" t="s">
        <v>416</v>
      </c>
      <c r="B111" s="30">
        <f>B103</f>
        <v>62</v>
      </c>
      <c r="C111" s="30">
        <f>C103</f>
        <v>347</v>
      </c>
      <c r="D111" s="30">
        <f>D103</f>
        <v>1412</v>
      </c>
      <c r="E111" s="30">
        <f>E103</f>
        <v>5535.8162499999999</v>
      </c>
      <c r="F111" s="30">
        <f>F103</f>
        <v>10203.17922</v>
      </c>
      <c r="G111" s="30">
        <f>G103</f>
        <v>14423.981564</v>
      </c>
      <c r="H111" s="30">
        <f>H103</f>
        <v>18880.786931625</v>
      </c>
      <c r="I111" s="30">
        <f>I103</f>
        <v>22843.400877696004</v>
      </c>
      <c r="J111" s="30">
        <f>J103</f>
        <v>26224.945860147844</v>
      </c>
      <c r="K111" s="30">
        <f>K103</f>
        <v>28719.706437380275</v>
      </c>
      <c r="L111" s="30">
        <f>L103</f>
        <v>32925.418515260229</v>
      </c>
      <c r="M111" s="30">
        <f>M103</f>
        <v>33750.475862148516</v>
      </c>
      <c r="N111" s="30">
        <f>N103</f>
        <v>37066.744715357672</v>
      </c>
      <c r="O111" s="30">
        <f>O103</f>
        <v>40153.349197186864</v>
      </c>
      <c r="P111" s="30">
        <f>P103</f>
        <v>42929.64665079023</v>
      </c>
      <c r="Q111" s="30">
        <f>Q103</f>
        <v>45468.750055274948</v>
      </c>
      <c r="R111" s="30">
        <f>R103</f>
        <v>47703.49501677505</v>
      </c>
      <c r="S111" s="30">
        <f>S103</f>
        <v>49611.634817446058</v>
      </c>
    </row>
    <row r="112" spans="1:19" x14ac:dyDescent="0.3">
      <c r="A112" s="1" t="s">
        <v>417</v>
      </c>
      <c r="B112" s="77">
        <f>Historicals!B11</f>
        <v>0</v>
      </c>
      <c r="C112" s="77">
        <f>Historicals!C11</f>
        <v>0</v>
      </c>
      <c r="D112" s="77">
        <f>Historicals!D11</f>
        <v>1500</v>
      </c>
      <c r="E112" s="30">
        <f>0</f>
        <v>0</v>
      </c>
      <c r="F112" s="30">
        <f>0</f>
        <v>0</v>
      </c>
      <c r="G112" s="30">
        <f>0</f>
        <v>0</v>
      </c>
      <c r="H112" s="30">
        <f>0</f>
        <v>0</v>
      </c>
      <c r="I112" s="30">
        <f>0</f>
        <v>0</v>
      </c>
      <c r="J112" s="30">
        <f>0</f>
        <v>0</v>
      </c>
      <c r="K112" s="30">
        <f>0</f>
        <v>0</v>
      </c>
      <c r="L112" s="30">
        <f>0</f>
        <v>0</v>
      </c>
      <c r="M112" s="30">
        <f>0</f>
        <v>0</v>
      </c>
      <c r="N112" s="30">
        <f>0</f>
        <v>0</v>
      </c>
      <c r="O112" s="30">
        <f>0</f>
        <v>0</v>
      </c>
      <c r="P112" s="30">
        <f>0</f>
        <v>0</v>
      </c>
      <c r="Q112" s="30">
        <f>0</f>
        <v>0</v>
      </c>
      <c r="R112" s="30">
        <f>0</f>
        <v>0</v>
      </c>
      <c r="S112" s="30">
        <f>0</f>
        <v>0</v>
      </c>
    </row>
    <row r="113" spans="1:19" x14ac:dyDescent="0.3">
      <c r="A113" s="1" t="s">
        <v>21</v>
      </c>
      <c r="B113" s="30">
        <f>SUM(B108:B112)</f>
        <v>592</v>
      </c>
      <c r="C113" s="30">
        <f>SUM(C108:C112)</f>
        <v>3366</v>
      </c>
      <c r="D113" s="30">
        <f>SUM(D108:D112)</f>
        <v>12645</v>
      </c>
      <c r="E113" s="30">
        <f>SUM(E108:E112)</f>
        <v>52657.964034326491</v>
      </c>
      <c r="F113" s="30">
        <f>SUM(F108:F112)</f>
        <v>93692.194721540829</v>
      </c>
      <c r="G113" s="30">
        <f>SUM(G108:G112)</f>
        <v>131812.19378239664</v>
      </c>
      <c r="H113" s="30">
        <f>SUM(H108:H112)</f>
        <v>167209.37408376823</v>
      </c>
      <c r="I113" s="30">
        <f>SUM(I108:I112)</f>
        <v>199110.1977960853</v>
      </c>
      <c r="J113" s="30">
        <f>SUM(J108:J112)</f>
        <v>229773.75223122508</v>
      </c>
      <c r="K113" s="30">
        <f>SUM(K108:K112)</f>
        <v>257258.22513255343</v>
      </c>
      <c r="L113" s="30">
        <f>SUM(L108:L112)</f>
        <v>284234.9633651395</v>
      </c>
      <c r="M113" s="30">
        <f>SUM(M108:M112)</f>
        <v>306369.82011398854</v>
      </c>
      <c r="N113" s="30">
        <f>SUM(N108:N112)</f>
        <v>331152.65717724827</v>
      </c>
      <c r="O113" s="30">
        <f>SUM(O108:O112)</f>
        <v>353771.11593214609</v>
      </c>
      <c r="P113" s="30">
        <f>SUM(P108:P112)</f>
        <v>376866.00072626467</v>
      </c>
      <c r="Q113" s="30">
        <f>SUM(Q108:Q112)</f>
        <v>401267.32574300014</v>
      </c>
      <c r="R113" s="30">
        <f>SUM(R108:R112)</f>
        <v>423267.14386751415</v>
      </c>
      <c r="S113" s="30">
        <f>SUM(S108:S112)</f>
        <v>443217.78138105437</v>
      </c>
    </row>
    <row r="114" spans="1:19" x14ac:dyDescent="0.3">
      <c r="A114" s="10" t="s">
        <v>418</v>
      </c>
      <c r="B114" s="87">
        <f>Historicals!B15+Historicals!B26</f>
        <v>-548</v>
      </c>
      <c r="C114" s="87">
        <f>Historicals!C15+Historicals!C26</f>
        <v>-2959</v>
      </c>
      <c r="D114" s="87">
        <f>Historicals!D15+Historicals!D26</f>
        <v>-8020</v>
      </c>
      <c r="E114" s="34">
        <f>E107-E113+E49</f>
        <v>1943.1984656735076</v>
      </c>
      <c r="F114" s="34">
        <f>F107-F113</f>
        <v>19676.463278459167</v>
      </c>
      <c r="G114" s="34">
        <f>G107-G113</f>
        <v>48487.575767603354</v>
      </c>
      <c r="H114" s="34">
        <f>H107-H113</f>
        <v>84534.451671231771</v>
      </c>
      <c r="I114" s="34">
        <f>I107-I113</f>
        <v>127224.10045671472</v>
      </c>
      <c r="J114" s="34">
        <f>J107-J113</f>
        <v>173686.95330951095</v>
      </c>
      <c r="K114" s="34">
        <f>K107-K113</f>
        <v>221403.54882378451</v>
      </c>
      <c r="L114" s="34">
        <f>L107-L113</f>
        <v>264522.01188919769</v>
      </c>
      <c r="M114" s="34">
        <f>M107-M113</f>
        <v>307275.19556143909</v>
      </c>
      <c r="N114" s="34">
        <f>N107-N113</f>
        <v>342788.15582925489</v>
      </c>
      <c r="O114" s="34">
        <f>O107-O113</f>
        <v>376289.77856216056</v>
      </c>
      <c r="P114" s="34">
        <f>P107-P113</f>
        <v>403673.02928810311</v>
      </c>
      <c r="Q114" s="34">
        <f>Q107-Q113</f>
        <v>425437.22071654431</v>
      </c>
      <c r="R114" s="34">
        <f>R107-R113</f>
        <v>444069.12916475948</v>
      </c>
      <c r="S114" s="34">
        <f>S107-S113</f>
        <v>458811.94257251028</v>
      </c>
    </row>
    <row r="115" spans="1:19" x14ac:dyDescent="0.3">
      <c r="A115" s="3" t="s">
        <v>419</v>
      </c>
      <c r="B115" s="31">
        <f>B114/B65</f>
        <v>-13.365853658536585</v>
      </c>
      <c r="C115" s="31">
        <f>C114/C65</f>
        <v>-7.6658031088082899</v>
      </c>
      <c r="D115" s="31">
        <f>D114/D65</f>
        <v>-1.7491821155943292</v>
      </c>
      <c r="E115" s="31">
        <f>E114/E65</f>
        <v>3.5652294733883996E-2</v>
      </c>
      <c r="F115" s="31">
        <f>F114/F65</f>
        <v>0.17356175529976872</v>
      </c>
      <c r="G115" s="31">
        <f>G114/G65</f>
        <v>0.26892755264535695</v>
      </c>
      <c r="H115" s="31">
        <f>H114/H65</f>
        <v>0.33579553110272375</v>
      </c>
      <c r="I115" s="31">
        <f>I114/I65</f>
        <v>0.38985819491814055</v>
      </c>
      <c r="J115" s="31">
        <f>J114/J65</f>
        <v>0.4304928607030713</v>
      </c>
      <c r="K115" s="31">
        <f>K114/K65</f>
        <v>0.46254696086088604</v>
      </c>
      <c r="L115" s="31">
        <f>L114/L65</f>
        <v>0.48203854131712376</v>
      </c>
      <c r="M115" s="31">
        <f>M114/M65</f>
        <v>0.50073770292622199</v>
      </c>
      <c r="N115" s="31">
        <f>N114/N65</f>
        <v>0.50863243361097221</v>
      </c>
      <c r="O115" s="31">
        <f>O114/O65</f>
        <v>0.51542245503069473</v>
      </c>
      <c r="P115" s="31">
        <f>P114/P65</f>
        <v>0.51717212562794268</v>
      </c>
      <c r="Q115" s="31">
        <f>Q114/Q65</f>
        <v>0.51461821824801524</v>
      </c>
      <c r="R115" s="31">
        <f>R114/R65</f>
        <v>0.51199188016461017</v>
      </c>
      <c r="S115" s="31">
        <f>S114/S65</f>
        <v>0.50864392867405039</v>
      </c>
    </row>
    <row r="116" spans="1:19" x14ac:dyDescent="0.3">
      <c r="A116" s="1" t="s">
        <v>420</v>
      </c>
      <c r="B116" s="30">
        <f>B114+B100+B112</f>
        <v>-519</v>
      </c>
      <c r="C116" s="30">
        <f>C114+C100+C112</f>
        <v>-2767</v>
      </c>
      <c r="D116" s="30">
        <f>D114+D100+D112</f>
        <v>-5362</v>
      </c>
      <c r="E116" s="30">
        <f>E114+E100+E112</f>
        <v>6882.5734656735076</v>
      </c>
      <c r="F116" s="30">
        <f>F114+F100+F112</f>
        <v>26338.713278459167</v>
      </c>
      <c r="G116" s="30">
        <f>G114+G100+G112</f>
        <v>56886.475892603354</v>
      </c>
      <c r="H116" s="30">
        <f>H114+H100+H112</f>
        <v>94526.329791231779</v>
      </c>
      <c r="I116" s="30">
        <f>I114+I100+I112</f>
        <v>138787.55517758033</v>
      </c>
      <c r="J116" s="30">
        <f>J114+J100+J112</f>
        <v>186465.3502829872</v>
      </c>
      <c r="K116" s="30">
        <f>K114+K100+K112</f>
        <v>235755.65562076724</v>
      </c>
      <c r="L116" s="30">
        <f>L114+L100+L112</f>
        <v>280253.65402328514</v>
      </c>
      <c r="M116" s="30">
        <f>M114+M100+M112</f>
        <v>324162.60477538063</v>
      </c>
      <c r="N116" s="30">
        <f>N114+N100+N112</f>
        <v>361140.54779250582</v>
      </c>
      <c r="O116" s="30">
        <f>O114+O100+O112</f>
        <v>396032.97836948233</v>
      </c>
      <c r="P116" s="30">
        <f>P114+P100+P112</f>
        <v>424695.24116106954</v>
      </c>
      <c r="Q116" s="30">
        <f>Q114+Q100+Q112</f>
        <v>447643.53780603257</v>
      </c>
      <c r="R116" s="30">
        <f>R114+R100+R112</f>
        <v>467391.60959124181</v>
      </c>
      <c r="S116" s="30">
        <f>S114+S100+S112</f>
        <v>483163.97553151951</v>
      </c>
    </row>
    <row r="117" spans="1:19" x14ac:dyDescent="0.3">
      <c r="A117" s="3" t="s">
        <v>421</v>
      </c>
      <c r="B117" s="31">
        <f>B116/B65</f>
        <v>-12.658536585365853</v>
      </c>
      <c r="C117" s="31">
        <f>C116/C65</f>
        <v>-7.1683937823834194</v>
      </c>
      <c r="D117" s="31">
        <f>D116/D65</f>
        <v>-1.1694656488549617</v>
      </c>
      <c r="E117" s="31">
        <f>E116/E65</f>
        <v>0.12627610718123608</v>
      </c>
      <c r="F117" s="31">
        <f>F116/F65</f>
        <v>0.23232799737701021</v>
      </c>
      <c r="G117" s="31">
        <f>G116/G65</f>
        <v>0.31551053023851938</v>
      </c>
      <c r="H117" s="31">
        <f>H116/H65</f>
        <v>0.37548618921532517</v>
      </c>
      <c r="I117" s="31">
        <f>I116/I65</f>
        <v>0.42529257856330616</v>
      </c>
      <c r="J117" s="31">
        <f>J116/J65</f>
        <v>0.46216483469704445</v>
      </c>
      <c r="K117" s="31">
        <f>K116/K65</f>
        <v>0.49253077736320794</v>
      </c>
      <c r="L117" s="31">
        <f>L116/L65</f>
        <v>0.51070631747941519</v>
      </c>
      <c r="M117" s="31">
        <f>M116/M65</f>
        <v>0.52825753732975556</v>
      </c>
      <c r="N117" s="31">
        <f>N116/N65</f>
        <v>0.53586389312353611</v>
      </c>
      <c r="O117" s="31">
        <f>O116/O65</f>
        <v>0.54246567835112391</v>
      </c>
      <c r="P117" s="31">
        <f>P116/P65</f>
        <v>0.54410506692183214</v>
      </c>
      <c r="Q117" s="31">
        <f>Q116/Q65</f>
        <v>0.54147946775316114</v>
      </c>
      <c r="R117" s="31">
        <f>R116/R65</f>
        <v>0.53888165884865524</v>
      </c>
      <c r="S117" s="31">
        <f>S116/S65</f>
        <v>0.53564085827884778</v>
      </c>
    </row>
    <row r="118" spans="1:19" x14ac:dyDescent="0.3">
      <c r="A118" s="1" t="s">
        <v>422</v>
      </c>
      <c r="B118" s="77">
        <f>Historicals!B26</f>
        <v>3</v>
      </c>
      <c r="C118" s="77">
        <f>Historicals!C26</f>
        <v>21</v>
      </c>
      <c r="D118" s="77">
        <f>Historicals!D26</f>
        <v>40</v>
      </c>
      <c r="E118" s="30">
        <f>E91+E65*E33</f>
        <v>1027.5637916666667</v>
      </c>
      <c r="F118" s="30">
        <f>F91+F65*F33</f>
        <v>3836.8313579183668</v>
      </c>
      <c r="G118" s="30">
        <f>G91+G65*G33</f>
        <v>8449.4632748904278</v>
      </c>
      <c r="H118" s="30">
        <f>H91+H65*H33</f>
        <v>13920.536975520979</v>
      </c>
      <c r="I118" s="30">
        <f>I91+I65*I33</f>
        <v>19535.363648183622</v>
      </c>
      <c r="J118" s="30">
        <f>J91+J65*J33</f>
        <v>25140.556815389245</v>
      </c>
      <c r="K118" s="30">
        <f>K91+K65*K33</f>
        <v>30123.580240377814</v>
      </c>
      <c r="L118" s="30">
        <f>L91+L65*L33</f>
        <v>34221.068075889445</v>
      </c>
      <c r="M118" s="30">
        <f>M91+M65*M33</f>
        <v>37817.293323084079</v>
      </c>
      <c r="N118" s="30">
        <f>N91+N65*N33</f>
        <v>40849.425285558507</v>
      </c>
      <c r="O118" s="30">
        <f>O91+O65*O33</f>
        <v>43160.931583600883</v>
      </c>
      <c r="P118" s="30">
        <f>P91+P65*P33</f>
        <v>45192.326048271585</v>
      </c>
      <c r="Q118" s="30">
        <f>Q91+Q65*Q33</f>
        <v>47458.667782838296</v>
      </c>
      <c r="R118" s="30">
        <f>R91+R65*R33</f>
        <v>49650.101881062532</v>
      </c>
      <c r="S118" s="30">
        <f>S91+S65*S33</f>
        <v>51357.524595159717</v>
      </c>
    </row>
    <row r="119" spans="1:19" x14ac:dyDescent="0.3">
      <c r="A119" s="10" t="s">
        <v>423</v>
      </c>
      <c r="B119" s="34">
        <f>B114-B118</f>
        <v>-551</v>
      </c>
      <c r="C119" s="34">
        <f>C114-C118</f>
        <v>-2980</v>
      </c>
      <c r="D119" s="34">
        <f>D114-D118</f>
        <v>-8060</v>
      </c>
      <c r="E119" s="34">
        <f>E114-E118</f>
        <v>915.6346740068409</v>
      </c>
      <c r="F119" s="34">
        <f>F114-F118</f>
        <v>15839.6319205408</v>
      </c>
      <c r="G119" s="34">
        <f>G114-G118</f>
        <v>40038.112492712928</v>
      </c>
      <c r="H119" s="34">
        <f>H114-H118</f>
        <v>70613.914695710788</v>
      </c>
      <c r="I119" s="34">
        <f>I114-I118</f>
        <v>107688.7368085311</v>
      </c>
      <c r="J119" s="34">
        <f>J114-J118</f>
        <v>148546.3964941217</v>
      </c>
      <c r="K119" s="34">
        <f>K114-K118</f>
        <v>191279.96858340671</v>
      </c>
      <c r="L119" s="34">
        <f>L114-L118</f>
        <v>230300.94381330826</v>
      </c>
      <c r="M119" s="34">
        <f>M114-M118</f>
        <v>269457.90223835502</v>
      </c>
      <c r="N119" s="34">
        <f>N114-N118</f>
        <v>301938.73054369638</v>
      </c>
      <c r="O119" s="34">
        <f>O114-O118</f>
        <v>333128.84697855968</v>
      </c>
      <c r="P119" s="34">
        <f>P114-P118</f>
        <v>358480.70323983149</v>
      </c>
      <c r="Q119" s="34">
        <f>Q114-Q118</f>
        <v>377978.55293370603</v>
      </c>
      <c r="R119" s="34">
        <f>R114-R118</f>
        <v>394419.02728369692</v>
      </c>
      <c r="S119" s="34">
        <f>S114-S118</f>
        <v>407454.41797735053</v>
      </c>
    </row>
    <row r="120" spans="1:19" x14ac:dyDescent="0.3">
      <c r="A120" s="3" t="s">
        <v>424</v>
      </c>
      <c r="B120" s="31">
        <f>B119/B65</f>
        <v>-13.439024390243903</v>
      </c>
      <c r="C120" s="31">
        <f>C119/C65</f>
        <v>-7.7202072538860103</v>
      </c>
      <c r="D120" s="31">
        <f>D119/D65</f>
        <v>-1.7579062159214831</v>
      </c>
      <c r="E120" s="31">
        <f>E119/E65</f>
        <v>1.6799353150446828E-2</v>
      </c>
      <c r="F120" s="31">
        <f>F119/F65</f>
        <v>0.13971790969370743</v>
      </c>
      <c r="G120" s="31">
        <f>G119/G65</f>
        <v>0.22206413570378813</v>
      </c>
      <c r="H120" s="31">
        <f>H119/H65</f>
        <v>0.28049909261501837</v>
      </c>
      <c r="I120" s="31">
        <f>I119/I65</f>
        <v>0.32999515339055269</v>
      </c>
      <c r="J120" s="31">
        <f>J119/J65</f>
        <v>0.36818057980400642</v>
      </c>
      <c r="K120" s="31">
        <f>K119/K65</f>
        <v>0.39961404689244034</v>
      </c>
      <c r="L120" s="31">
        <f>L119/L65</f>
        <v>0.41967747873558903</v>
      </c>
      <c r="M120" s="31">
        <f>M119/M65</f>
        <v>0.43911039013617298</v>
      </c>
      <c r="N120" s="31">
        <f>N119/N65</f>
        <v>0.44801965501499141</v>
      </c>
      <c r="O120" s="31">
        <f>O119/O65</f>
        <v>0.45630282280673173</v>
      </c>
      <c r="P120" s="31">
        <f>P119/P65</f>
        <v>0.45927325790900264</v>
      </c>
      <c r="Q120" s="31">
        <f>Q119/Q65</f>
        <v>0.45721117000316724</v>
      </c>
      <c r="R120" s="31">
        <f>R119/R65</f>
        <v>0.45474752935764806</v>
      </c>
      <c r="S120" s="31">
        <f>S119/S65</f>
        <v>0.45170841620550162</v>
      </c>
    </row>
    <row r="121" spans="1:19" x14ac:dyDescent="0.3">
      <c r="A121" s="3" t="s">
        <v>425</v>
      </c>
      <c r="B121" s="94">
        <f>B119-Historicals!B15</f>
        <v>0</v>
      </c>
      <c r="C121" s="94">
        <f>C119-Historicals!C15</f>
        <v>0</v>
      </c>
      <c r="D121" s="94">
        <f>D119-Historicals!D15</f>
        <v>0</v>
      </c>
      <c r="E121" s="95"/>
      <c r="F121" s="95"/>
      <c r="G121" s="95"/>
      <c r="H121" s="95"/>
      <c r="I121" s="95"/>
      <c r="J121" s="95"/>
      <c r="K121" s="95"/>
      <c r="L121" s="95"/>
      <c r="M121" s="95"/>
      <c r="N121" s="95"/>
      <c r="O121" s="95"/>
      <c r="P121" s="95"/>
      <c r="Q121" s="95"/>
      <c r="R121" s="95"/>
      <c r="S121" s="95"/>
    </row>
    <row r="122" spans="1:19" ht="3" customHeight="1" x14ac:dyDescent="0.3"/>
    <row r="123" spans="1:19" x14ac:dyDescent="0.3">
      <c r="A123" s="5" t="s">
        <v>426</v>
      </c>
      <c r="B123" s="5"/>
      <c r="C123" s="5"/>
      <c r="D123" s="5"/>
      <c r="E123" s="5"/>
      <c r="F123" s="5"/>
      <c r="G123" s="5"/>
      <c r="H123" s="5"/>
      <c r="I123" s="5"/>
      <c r="J123" s="5"/>
      <c r="K123" s="5"/>
      <c r="L123" s="5"/>
      <c r="M123" s="5"/>
      <c r="N123" s="5"/>
      <c r="O123" s="5"/>
      <c r="P123" s="5"/>
      <c r="Q123" s="5"/>
      <c r="R123" s="5"/>
      <c r="S123" s="5"/>
    </row>
    <row r="124" spans="1:19" x14ac:dyDescent="0.3">
      <c r="A124" s="1" t="s">
        <v>427</v>
      </c>
      <c r="B124" s="9"/>
      <c r="C124" s="9"/>
      <c r="D124" s="9"/>
      <c r="E124" s="77">
        <f>Historicals!C160</f>
        <v>8200</v>
      </c>
      <c r="F124" s="30">
        <f>E127</f>
        <v>7467.4922607945273</v>
      </c>
      <c r="G124" s="30">
        <f>F127</f>
        <v>0</v>
      </c>
      <c r="H124" s="30">
        <f>G127</f>
        <v>0</v>
      </c>
      <c r="I124" s="30">
        <f>H127</f>
        <v>0</v>
      </c>
      <c r="J124" s="30">
        <f>I127</f>
        <v>0</v>
      </c>
      <c r="K124" s="30">
        <f>J127</f>
        <v>0</v>
      </c>
      <c r="L124" s="30">
        <f>K127</f>
        <v>0</v>
      </c>
      <c r="M124" s="30">
        <f>L127</f>
        <v>0</v>
      </c>
      <c r="N124" s="30">
        <f>M127</f>
        <v>0</v>
      </c>
      <c r="O124" s="30">
        <f>N127</f>
        <v>0</v>
      </c>
      <c r="P124" s="30">
        <f>O127</f>
        <v>0</v>
      </c>
      <c r="Q124" s="30">
        <f>P127</f>
        <v>0</v>
      </c>
      <c r="R124" s="30">
        <f>Q127</f>
        <v>0</v>
      </c>
      <c r="S124" s="30">
        <f>R127</f>
        <v>0</v>
      </c>
    </row>
    <row r="125" spans="1:19" x14ac:dyDescent="0.3">
      <c r="A125" s="1" t="s">
        <v>428</v>
      </c>
      <c r="B125" s="9"/>
      <c r="C125" s="9"/>
      <c r="D125" s="9"/>
      <c r="E125" s="30">
        <f>MIN(E124,MAX(E119,0)*0.8)</f>
        <v>732.50773920547272</v>
      </c>
      <c r="F125" s="30">
        <f>MIN(F124,MAX(F119,0)*0.8)</f>
        <v>7467.4922607945273</v>
      </c>
      <c r="G125" s="30">
        <f>MIN(G124,MAX(G119,0)*0.8)</f>
        <v>0</v>
      </c>
      <c r="H125" s="30">
        <f>MIN(H124,MAX(H119,0)*0.8)</f>
        <v>0</v>
      </c>
      <c r="I125" s="30">
        <f>MIN(I124,MAX(I119,0)*0.8)</f>
        <v>0</v>
      </c>
      <c r="J125" s="30">
        <f>MIN(J124,MAX(J119,0)*0.8)</f>
        <v>0</v>
      </c>
      <c r="K125" s="30">
        <f>MIN(K124,MAX(K119,0)*0.8)</f>
        <v>0</v>
      </c>
      <c r="L125" s="30">
        <f>MIN(L124,MAX(L119,0)*0.8)</f>
        <v>0</v>
      </c>
      <c r="M125" s="30">
        <f>MIN(M124,MAX(M119,0)*0.8)</f>
        <v>0</v>
      </c>
      <c r="N125" s="30">
        <f>MIN(N124,MAX(N119,0)*0.8)</f>
        <v>0</v>
      </c>
      <c r="O125" s="30">
        <f>MIN(O124,MAX(O119,0)*0.8)</f>
        <v>0</v>
      </c>
      <c r="P125" s="30">
        <f>MIN(P124,MAX(P119,0)*0.8)</f>
        <v>0</v>
      </c>
      <c r="Q125" s="30">
        <f>MIN(Q124,MAX(Q119,0)*0.8)</f>
        <v>0</v>
      </c>
      <c r="R125" s="30">
        <f>MIN(R124,MAX(R119,0)*0.8)</f>
        <v>0</v>
      </c>
      <c r="S125" s="30">
        <f>MIN(S124,MAX(S119,0)*0.8)</f>
        <v>0</v>
      </c>
    </row>
    <row r="126" spans="1:19" x14ac:dyDescent="0.3">
      <c r="A126" s="1" t="s">
        <v>429</v>
      </c>
      <c r="B126" s="9"/>
      <c r="C126" s="9"/>
      <c r="D126" s="9"/>
      <c r="E126" s="30">
        <f>MAX(-E119,0)</f>
        <v>0</v>
      </c>
      <c r="F126" s="30">
        <f>MAX(-F119,0)</f>
        <v>0</v>
      </c>
      <c r="G126" s="30">
        <f>MAX(-G119,0)</f>
        <v>0</v>
      </c>
      <c r="H126" s="30">
        <f>MAX(-H119,0)</f>
        <v>0</v>
      </c>
      <c r="I126" s="30">
        <f>MAX(-I119,0)</f>
        <v>0</v>
      </c>
      <c r="J126" s="30">
        <f>MAX(-J119,0)</f>
        <v>0</v>
      </c>
      <c r="K126" s="30">
        <f>MAX(-K119,0)</f>
        <v>0</v>
      </c>
      <c r="L126" s="30">
        <f>MAX(-L119,0)</f>
        <v>0</v>
      </c>
      <c r="M126" s="30">
        <f>MAX(-M119,0)</f>
        <v>0</v>
      </c>
      <c r="N126" s="30">
        <f>MAX(-N119,0)</f>
        <v>0</v>
      </c>
      <c r="O126" s="30">
        <f>MAX(-O119,0)</f>
        <v>0</v>
      </c>
      <c r="P126" s="30">
        <f>MAX(-P119,0)</f>
        <v>0</v>
      </c>
      <c r="Q126" s="30">
        <f>MAX(-Q119,0)</f>
        <v>0</v>
      </c>
      <c r="R126" s="30">
        <f>MAX(-R119,0)</f>
        <v>0</v>
      </c>
      <c r="S126" s="30">
        <f>MAX(-S119,0)</f>
        <v>0</v>
      </c>
    </row>
    <row r="127" spans="1:19" x14ac:dyDescent="0.3">
      <c r="A127" s="1" t="s">
        <v>430</v>
      </c>
      <c r="B127" s="9"/>
      <c r="C127" s="9"/>
      <c r="D127" s="9"/>
      <c r="E127" s="30">
        <f>E124-E125+E126</f>
        <v>7467.4922607945273</v>
      </c>
      <c r="F127" s="30">
        <f>F124-F125+F126</f>
        <v>0</v>
      </c>
      <c r="G127" s="30">
        <f>G124-G125+G126</f>
        <v>0</v>
      </c>
      <c r="H127" s="30">
        <f>H124-H125+H126</f>
        <v>0</v>
      </c>
      <c r="I127" s="30">
        <f>I124-I125+I126</f>
        <v>0</v>
      </c>
      <c r="J127" s="30">
        <f>J124-J125+J126</f>
        <v>0</v>
      </c>
      <c r="K127" s="30">
        <f>K124-K125+K126</f>
        <v>0</v>
      </c>
      <c r="L127" s="30">
        <f>L124-L125+L126</f>
        <v>0</v>
      </c>
      <c r="M127" s="30">
        <f>M124-M125+M126</f>
        <v>0</v>
      </c>
      <c r="N127" s="30">
        <f>N124-N125+N126</f>
        <v>0</v>
      </c>
      <c r="O127" s="30">
        <f>O124-O125+O126</f>
        <v>0</v>
      </c>
      <c r="P127" s="30">
        <f>P124-P125+P126</f>
        <v>0</v>
      </c>
      <c r="Q127" s="30">
        <f>Q124-Q125+Q126</f>
        <v>0</v>
      </c>
      <c r="R127" s="30">
        <f>R124-R125+R126</f>
        <v>0</v>
      </c>
      <c r="S127" s="30">
        <f>S124-S125+S126</f>
        <v>0</v>
      </c>
    </row>
    <row r="128" spans="1:19" x14ac:dyDescent="0.3">
      <c r="A128" s="1" t="s">
        <v>431</v>
      </c>
      <c r="B128" s="9"/>
      <c r="C128" s="9"/>
      <c r="D128" s="9"/>
      <c r="E128" s="30">
        <f>MAX(E119,0)-E125</f>
        <v>183.12693480136818</v>
      </c>
      <c r="F128" s="30">
        <f>MAX(F119,0)-F125</f>
        <v>8372.1396597462735</v>
      </c>
      <c r="G128" s="30">
        <f>MAX(G119,0)-G125</f>
        <v>40038.112492712928</v>
      </c>
      <c r="H128" s="30">
        <f>MAX(H119,0)-H125</f>
        <v>70613.914695710788</v>
      </c>
      <c r="I128" s="30">
        <f>MAX(I119,0)-I125</f>
        <v>107688.7368085311</v>
      </c>
      <c r="J128" s="30">
        <f>MAX(J119,0)-J125</f>
        <v>148546.3964941217</v>
      </c>
      <c r="K128" s="30">
        <f>MAX(K119,0)-K125</f>
        <v>191279.96858340671</v>
      </c>
      <c r="L128" s="30">
        <f>MAX(L119,0)-L125</f>
        <v>230300.94381330826</v>
      </c>
      <c r="M128" s="30">
        <f>MAX(M119,0)-M125</f>
        <v>269457.90223835502</v>
      </c>
      <c r="N128" s="30">
        <f>MAX(N119,0)-N125</f>
        <v>301938.73054369638</v>
      </c>
      <c r="O128" s="30">
        <f>MAX(O119,0)-O125</f>
        <v>333128.84697855968</v>
      </c>
      <c r="P128" s="30">
        <f>MAX(P119,0)-P125</f>
        <v>358480.70323983149</v>
      </c>
      <c r="Q128" s="30">
        <f>MAX(Q119,0)-Q125</f>
        <v>377978.55293370603</v>
      </c>
      <c r="R128" s="30">
        <f>MAX(R119,0)-R125</f>
        <v>394419.02728369692</v>
      </c>
      <c r="S128" s="30">
        <f>MAX(S119,0)-S125</f>
        <v>407454.41797735053</v>
      </c>
    </row>
    <row r="129" spans="1:19" x14ac:dyDescent="0.3">
      <c r="A129" s="1" t="s">
        <v>432</v>
      </c>
      <c r="B129" s="9"/>
      <c r="C129" s="9"/>
      <c r="D129" s="9"/>
      <c r="E129" s="30">
        <f>E128*$E$40</f>
        <v>42.119195004314683</v>
      </c>
      <c r="F129" s="30">
        <f>F128*$E$40</f>
        <v>1925.592121741643</v>
      </c>
      <c r="G129" s="30">
        <f>G128*$E$40</f>
        <v>9208.7658733239732</v>
      </c>
      <c r="H129" s="30">
        <f>H128*$E$40</f>
        <v>16241.200380013483</v>
      </c>
      <c r="I129" s="30">
        <f>I128*$E$40</f>
        <v>24768.409465962155</v>
      </c>
      <c r="J129" s="30">
        <f>J128*$E$40</f>
        <v>34165.671193647991</v>
      </c>
      <c r="K129" s="30">
        <f>K128*$E$40</f>
        <v>43994.392774183543</v>
      </c>
      <c r="L129" s="30">
        <f>L128*$E$40</f>
        <v>52969.217077060901</v>
      </c>
      <c r="M129" s="30">
        <f>M128*$E$40</f>
        <v>61975.317514821654</v>
      </c>
      <c r="N129" s="30">
        <f>N128*$E$40</f>
        <v>69445.908025050172</v>
      </c>
      <c r="O129" s="30">
        <f>O128*$E$40</f>
        <v>76619.634805068737</v>
      </c>
      <c r="P129" s="30">
        <f>P128*$E$40</f>
        <v>82450.561745161249</v>
      </c>
      <c r="Q129" s="30">
        <f>Q128*$E$40</f>
        <v>86935.067174752388</v>
      </c>
      <c r="R129" s="30">
        <f>R128*$E$40</f>
        <v>90716.376275250295</v>
      </c>
      <c r="S129" s="30">
        <f>S128*$E$40</f>
        <v>93714.516134790625</v>
      </c>
    </row>
    <row r="130" spans="1:19" x14ac:dyDescent="0.3">
      <c r="A130" s="3" t="s">
        <v>433</v>
      </c>
      <c r="B130" s="75"/>
      <c r="C130" s="75"/>
      <c r="D130" s="75"/>
      <c r="E130" s="31">
        <f>IF(E119&gt;0,E129/E119,0)</f>
        <v>4.5999999999999999E-2</v>
      </c>
      <c r="F130" s="31">
        <f>IF(F119&gt;0,F129/F119,0)</f>
        <v>0.12156798411739224</v>
      </c>
      <c r="G130" s="31">
        <f>IF(G119&gt;0,G129/G119,0)</f>
        <v>0.23</v>
      </c>
      <c r="H130" s="31">
        <f>IF(H119&gt;0,H129/H119,0)</f>
        <v>0.23</v>
      </c>
      <c r="I130" s="31">
        <f>IF(I119&gt;0,I129/I119,0)</f>
        <v>0.23</v>
      </c>
      <c r="J130" s="31">
        <f>IF(J119&gt;0,J129/J119,0)</f>
        <v>0.23</v>
      </c>
      <c r="K130" s="31">
        <f>IF(K119&gt;0,K129/K119,0)</f>
        <v>0.23</v>
      </c>
      <c r="L130" s="31">
        <f>IF(L119&gt;0,L129/L119,0)</f>
        <v>0.23</v>
      </c>
      <c r="M130" s="31">
        <f>IF(M119&gt;0,M129/M119,0)</f>
        <v>0.23</v>
      </c>
      <c r="N130" s="31">
        <f>IF(N119&gt;0,N129/N119,0)</f>
        <v>0.23</v>
      </c>
      <c r="O130" s="31">
        <f>IF(O119&gt;0,O129/O119,0)</f>
        <v>0.23000000000000004</v>
      </c>
      <c r="P130" s="31">
        <f>IF(P119&gt;0,P129/P119,0)</f>
        <v>0.23</v>
      </c>
      <c r="Q130" s="31">
        <f>IF(Q119&gt;0,Q129/Q119,0)</f>
        <v>0.23</v>
      </c>
      <c r="R130" s="31">
        <f>IF(R119&gt;0,R129/R119,0)</f>
        <v>0.23</v>
      </c>
      <c r="S130" s="31">
        <f>IF(S119&gt;0,S129/S119,0)</f>
        <v>0.23</v>
      </c>
    </row>
    <row r="131" spans="1:19" ht="3" customHeight="1" x14ac:dyDescent="0.3"/>
    <row r="132" spans="1:19" x14ac:dyDescent="0.3">
      <c r="A132" s="5" t="s">
        <v>434</v>
      </c>
      <c r="B132" s="5"/>
      <c r="C132" s="5"/>
      <c r="D132" s="5"/>
      <c r="E132" s="5"/>
      <c r="F132" s="5"/>
      <c r="G132" s="5"/>
      <c r="H132" s="5"/>
      <c r="I132" s="5"/>
      <c r="J132" s="5"/>
      <c r="K132" s="5"/>
      <c r="L132" s="5"/>
      <c r="M132" s="5"/>
      <c r="N132" s="5"/>
      <c r="O132" s="5"/>
      <c r="P132" s="5"/>
      <c r="Q132" s="5"/>
      <c r="R132" s="5"/>
      <c r="S132" s="5"/>
    </row>
    <row r="133" spans="1:19" x14ac:dyDescent="0.3">
      <c r="A133" s="1" t="s">
        <v>435</v>
      </c>
      <c r="B133" s="9"/>
      <c r="C133" s="9"/>
      <c r="D133" s="9"/>
      <c r="E133" s="30">
        <f>E119</f>
        <v>915.6346740068409</v>
      </c>
      <c r="F133" s="30">
        <f>F119</f>
        <v>15839.6319205408</v>
      </c>
      <c r="G133" s="30">
        <f>G119</f>
        <v>40038.112492712928</v>
      </c>
      <c r="H133" s="30">
        <f>H119</f>
        <v>70613.914695710788</v>
      </c>
      <c r="I133" s="30">
        <f>I119</f>
        <v>107688.7368085311</v>
      </c>
      <c r="J133" s="30">
        <f>J119</f>
        <v>148546.3964941217</v>
      </c>
      <c r="K133" s="30">
        <f>K119</f>
        <v>191279.96858340671</v>
      </c>
      <c r="L133" s="30">
        <f>L119</f>
        <v>230300.94381330826</v>
      </c>
      <c r="M133" s="30">
        <f>M119</f>
        <v>269457.90223835502</v>
      </c>
      <c r="N133" s="30">
        <f>N119</f>
        <v>301938.73054369638</v>
      </c>
      <c r="O133" s="30">
        <f>O119</f>
        <v>333128.84697855968</v>
      </c>
      <c r="P133" s="30">
        <f>P119</f>
        <v>358480.70323983149</v>
      </c>
      <c r="Q133" s="30">
        <f>Q119</f>
        <v>377978.55293370603</v>
      </c>
      <c r="R133" s="30">
        <f>R119</f>
        <v>394419.02728369692</v>
      </c>
      <c r="S133" s="30">
        <f>S119</f>
        <v>407454.41797735053</v>
      </c>
    </row>
    <row r="134" spans="1:19" x14ac:dyDescent="0.3">
      <c r="A134" s="1" t="s">
        <v>436</v>
      </c>
      <c r="B134" s="9"/>
      <c r="C134" s="9"/>
      <c r="D134" s="9"/>
      <c r="E134" s="30">
        <f>-E129</f>
        <v>-42.119195004314683</v>
      </c>
      <c r="F134" s="30">
        <f>-F129</f>
        <v>-1925.592121741643</v>
      </c>
      <c r="G134" s="30">
        <f>-G129</f>
        <v>-9208.7658733239732</v>
      </c>
      <c r="H134" s="30">
        <f>-H129</f>
        <v>-16241.200380013483</v>
      </c>
      <c r="I134" s="30">
        <f>-I129</f>
        <v>-24768.409465962155</v>
      </c>
      <c r="J134" s="30">
        <f>-J129</f>
        <v>-34165.671193647991</v>
      </c>
      <c r="K134" s="30">
        <f>-K129</f>
        <v>-43994.392774183543</v>
      </c>
      <c r="L134" s="30">
        <f>-L129</f>
        <v>-52969.217077060901</v>
      </c>
      <c r="M134" s="30">
        <f>-M129</f>
        <v>-61975.317514821654</v>
      </c>
      <c r="N134" s="30">
        <f>-N129</f>
        <v>-69445.908025050172</v>
      </c>
      <c r="O134" s="30">
        <f>-O129</f>
        <v>-76619.634805068737</v>
      </c>
      <c r="P134" s="30">
        <f>-P129</f>
        <v>-82450.561745161249</v>
      </c>
      <c r="Q134" s="30">
        <f>-Q129</f>
        <v>-86935.067174752388</v>
      </c>
      <c r="R134" s="30">
        <f>-R129</f>
        <v>-90716.376275250295</v>
      </c>
      <c r="S134" s="30">
        <f>-S129</f>
        <v>-93714.516134790625</v>
      </c>
    </row>
    <row r="135" spans="1:19" x14ac:dyDescent="0.3">
      <c r="A135" s="10" t="s">
        <v>437</v>
      </c>
      <c r="B135" s="12"/>
      <c r="C135" s="12"/>
      <c r="D135" s="12"/>
      <c r="E135" s="34">
        <f>E133+E134</f>
        <v>873.51547900252626</v>
      </c>
      <c r="F135" s="34">
        <f>F133+F134</f>
        <v>13914.039798799156</v>
      </c>
      <c r="G135" s="34">
        <f>G133+G134</f>
        <v>30829.346619388954</v>
      </c>
      <c r="H135" s="34">
        <f>H133+H134</f>
        <v>54372.714315697303</v>
      </c>
      <c r="I135" s="34">
        <f>I133+I134</f>
        <v>82920.327342568955</v>
      </c>
      <c r="J135" s="34">
        <f>J133+J134</f>
        <v>114380.72530047371</v>
      </c>
      <c r="K135" s="34">
        <f>K133+K134</f>
        <v>147285.57580922317</v>
      </c>
      <c r="L135" s="34">
        <f>L133+L134</f>
        <v>177331.72673624736</v>
      </c>
      <c r="M135" s="34">
        <f>M133+M134</f>
        <v>207482.58472353336</v>
      </c>
      <c r="N135" s="34">
        <f>N133+N134</f>
        <v>232492.82251864619</v>
      </c>
      <c r="O135" s="34">
        <f>O133+O134</f>
        <v>256509.21217349096</v>
      </c>
      <c r="P135" s="34">
        <f>P133+P134</f>
        <v>276030.14149467024</v>
      </c>
      <c r="Q135" s="34">
        <f>Q133+Q134</f>
        <v>291043.48575895361</v>
      </c>
      <c r="R135" s="34">
        <f>R133+R134</f>
        <v>303702.65100844664</v>
      </c>
      <c r="S135" s="34">
        <f>S133+S134</f>
        <v>313739.90184255992</v>
      </c>
    </row>
    <row r="136" spans="1:19" x14ac:dyDescent="0.3">
      <c r="A136" s="1" t="s">
        <v>438</v>
      </c>
      <c r="B136" s="9"/>
      <c r="C136" s="9"/>
      <c r="D136" s="9"/>
      <c r="E136" s="30">
        <f>E118</f>
        <v>1027.5637916666667</v>
      </c>
      <c r="F136" s="30">
        <f>F118</f>
        <v>3836.8313579183668</v>
      </c>
      <c r="G136" s="30">
        <f>G118</f>
        <v>8449.4632748904278</v>
      </c>
      <c r="H136" s="30">
        <f>H118</f>
        <v>13920.536975520979</v>
      </c>
      <c r="I136" s="30">
        <f>I118</f>
        <v>19535.363648183622</v>
      </c>
      <c r="J136" s="30">
        <f>J118</f>
        <v>25140.556815389245</v>
      </c>
      <c r="K136" s="30">
        <f>K118</f>
        <v>30123.580240377814</v>
      </c>
      <c r="L136" s="30">
        <f>L118</f>
        <v>34221.068075889445</v>
      </c>
      <c r="M136" s="30">
        <f>M118</f>
        <v>37817.293323084079</v>
      </c>
      <c r="N136" s="30">
        <f>N118</f>
        <v>40849.425285558507</v>
      </c>
      <c r="O136" s="30">
        <f>O118</f>
        <v>43160.931583600883</v>
      </c>
      <c r="P136" s="30">
        <f>P118</f>
        <v>45192.326048271585</v>
      </c>
      <c r="Q136" s="30">
        <f>Q118</f>
        <v>47458.667782838296</v>
      </c>
      <c r="R136" s="30">
        <f>R118</f>
        <v>49650.101881062532</v>
      </c>
      <c r="S136" s="30">
        <f>S118</f>
        <v>51357.524595159717</v>
      </c>
    </row>
    <row r="137" spans="1:19" x14ac:dyDescent="0.3">
      <c r="A137" s="1" t="s">
        <v>439</v>
      </c>
      <c r="B137" s="9"/>
      <c r="C137" s="9"/>
      <c r="D137" s="9"/>
      <c r="E137" s="30">
        <f>-E92</f>
        <v>-7550.4297916666665</v>
      </c>
      <c r="F137" s="30">
        <f>-F92</f>
        <v>-19652.737999183675</v>
      </c>
      <c r="G137" s="30">
        <f>-G92</f>
        <v>-31499.507430574871</v>
      </c>
      <c r="H137" s="30">
        <f>-H92</f>
        <v>-38410.384233347024</v>
      </c>
      <c r="I137" s="30">
        <f>-I92</f>
        <v>-44919.891620855356</v>
      </c>
      <c r="J137" s="30">
        <f>-J92</f>
        <v>-50609.32483024407</v>
      </c>
      <c r="K137" s="30">
        <f>-K92</f>
        <v>-51131.205513700654</v>
      </c>
      <c r="L137" s="30">
        <f>-L92</f>
        <v>-52718.285956944688</v>
      </c>
      <c r="M137" s="30">
        <f>-M92</f>
        <v>-55135.430848709788</v>
      </c>
      <c r="N137" s="30">
        <f>-N92</f>
        <v>-54994.077399404254</v>
      </c>
      <c r="O137" s="30">
        <f>-O92</f>
        <v>-54468.261437555419</v>
      </c>
      <c r="P137" s="30">
        <f>-P92</f>
        <v>-57164.715897780115</v>
      </c>
      <c r="Q137" s="30">
        <f>-Q92</f>
        <v>-61269.20078928546</v>
      </c>
      <c r="R137" s="30">
        <f>-R92</f>
        <v>-61578.059298842294</v>
      </c>
      <c r="S137" s="30">
        <f>-S92</f>
        <v>-61353.123137197384</v>
      </c>
    </row>
    <row r="138" spans="1:19" x14ac:dyDescent="0.3">
      <c r="A138" s="1" t="s">
        <v>440</v>
      </c>
      <c r="B138" s="9"/>
      <c r="C138" s="9"/>
      <c r="D138" s="9"/>
      <c r="E138" s="30">
        <f>-E65*E32</f>
        <v>-545.04162499999995</v>
      </c>
      <c r="F138" s="30">
        <f>-F65*F32</f>
        <v>-1133.68658</v>
      </c>
      <c r="G138" s="30">
        <f>-G65*G32</f>
        <v>-1802.9976955</v>
      </c>
      <c r="H138" s="30">
        <f>-H65*H32</f>
        <v>-2517.4382575499999</v>
      </c>
      <c r="I138" s="30">
        <f>-I65*I32</f>
        <v>-3263.342982528</v>
      </c>
      <c r="J138" s="30">
        <f>-J65*J32</f>
        <v>-4034.6070554073603</v>
      </c>
      <c r="K138" s="30">
        <f>-K65*K32</f>
        <v>-4786.6177395633795</v>
      </c>
      <c r="L138" s="30">
        <f>-L65*L32</f>
        <v>-5487.5697525433716</v>
      </c>
      <c r="M138" s="30">
        <f>-M65*M32</f>
        <v>-6136.4501567542766</v>
      </c>
      <c r="N138" s="30">
        <f>-N65*N32</f>
        <v>-6739.4081300650314</v>
      </c>
      <c r="O138" s="30">
        <f>-O65*O32</f>
        <v>-7300.6089449430665</v>
      </c>
      <c r="P138" s="30">
        <f>-P65*P32</f>
        <v>-7805.3903001436775</v>
      </c>
      <c r="Q138" s="30">
        <f>-Q65*Q32</f>
        <v>-8267.0454645954451</v>
      </c>
      <c r="R138" s="30">
        <f>-R65*R32</f>
        <v>-8673.3627303227368</v>
      </c>
      <c r="S138" s="30">
        <f>-S65*S32</f>
        <v>-9020.2972395356464</v>
      </c>
    </row>
    <row r="139" spans="1:19" x14ac:dyDescent="0.3">
      <c r="A139" s="1" t="s">
        <v>441</v>
      </c>
      <c r="B139" s="9"/>
      <c r="C139" s="9"/>
      <c r="D139" s="9"/>
      <c r="E139" s="30">
        <f>-(E65-D65)*E34</f>
        <v>-1497.5748749999998</v>
      </c>
      <c r="F139" s="30">
        <f>-(F65-E65)*F34</f>
        <v>-1765.9348649999999</v>
      </c>
      <c r="G139" s="30">
        <f>-(G65-F65)*G34</f>
        <v>-2007.9333465</v>
      </c>
      <c r="H139" s="30">
        <f>-(H65-G65)*H34</f>
        <v>-2143.32168615</v>
      </c>
      <c r="I139" s="30">
        <f>-(I65-H65)*I34</f>
        <v>-2237.7141749340003</v>
      </c>
      <c r="J139" s="30">
        <f>-(J65-I65)*J34</f>
        <v>-2313.7922186380806</v>
      </c>
      <c r="K139" s="30">
        <f>-(K65-J65)*K34</f>
        <v>-2256.0320524680574</v>
      </c>
      <c r="L139" s="30">
        <f>-(L65-K65)*L34</f>
        <v>-2102.8560389399772</v>
      </c>
      <c r="M139" s="30">
        <f>-(M65-L65)*M34</f>
        <v>-1946.6412126327132</v>
      </c>
      <c r="N139" s="30">
        <f>-(N65-M65)*N34</f>
        <v>-1808.8739199322658</v>
      </c>
      <c r="O139" s="30">
        <f>-(O65-N65)*O34</f>
        <v>-1683.6024446341046</v>
      </c>
      <c r="P139" s="30">
        <f>-(P65-O65)*P34</f>
        <v>-1514.3440656018338</v>
      </c>
      <c r="Q139" s="30">
        <f>-(Q65-P65)*Q34</f>
        <v>-1384.9654933553002</v>
      </c>
      <c r="R139" s="30">
        <f>-(R65-Q65)*R34</f>
        <v>-1218.9517971818755</v>
      </c>
      <c r="S139" s="30">
        <f>-(S65-R65)*S34</f>
        <v>-1040.8035276387307</v>
      </c>
    </row>
    <row r="140" spans="1:19" x14ac:dyDescent="0.3">
      <c r="A140" s="27" t="s">
        <v>442</v>
      </c>
      <c r="B140" s="96"/>
      <c r="C140" s="96"/>
      <c r="D140" s="96"/>
      <c r="E140" s="97">
        <f>E135+E136+E137+E138+E139</f>
        <v>-7691.9670209974738</v>
      </c>
      <c r="F140" s="97">
        <f>F135+F136+F137+F138+F139</f>
        <v>-4801.4882874661516</v>
      </c>
      <c r="G140" s="97">
        <f>G135+G136+G137+G138+G139</f>
        <v>3968.371421704509</v>
      </c>
      <c r="H140" s="97">
        <f>H135+H136+H137+H138+H139</f>
        <v>25222.107114171264</v>
      </c>
      <c r="I140" s="97">
        <f>I135+I136+I137+I138+I139</f>
        <v>52034.742212435209</v>
      </c>
      <c r="J140" s="97">
        <f>J135+J136+J137+J138+J139</f>
        <v>82563.558011573463</v>
      </c>
      <c r="K140" s="97">
        <f>K135+K136+K137+K138+K139</f>
        <v>119235.30074386888</v>
      </c>
      <c r="L140" s="97">
        <f>L135+L136+L137+L138+L139</f>
        <v>151244.08306370876</v>
      </c>
      <c r="M140" s="97">
        <f>M135+M136+M137+M138+M139</f>
        <v>182081.35582852067</v>
      </c>
      <c r="N140" s="97">
        <f>N135+N136+N137+N138+N139</f>
        <v>209799.88835480314</v>
      </c>
      <c r="O140" s="97">
        <f>O135+O136+O137+O138+O139</f>
        <v>236217.67092995925</v>
      </c>
      <c r="P140" s="97">
        <f>P135+P136+P137+P138+P139</f>
        <v>254738.01727941615</v>
      </c>
      <c r="Q140" s="97">
        <f>Q135+Q136+Q137+Q138+Q139</f>
        <v>267580.94179455569</v>
      </c>
      <c r="R140" s="97">
        <f>R135+R136+R137+R138+R139</f>
        <v>281882.37906316231</v>
      </c>
      <c r="S140" s="97">
        <f>S135+S136+S137+S138+S139</f>
        <v>293683.20253334782</v>
      </c>
    </row>
    <row r="141" spans="1:19" x14ac:dyDescent="0.3">
      <c r="A141" s="3" t="s">
        <v>443</v>
      </c>
      <c r="B141" s="75"/>
      <c r="C141" s="75"/>
      <c r="D141" s="75"/>
      <c r="E141" s="31">
        <f>E140/E65</f>
        <v>-0.14112623088186108</v>
      </c>
      <c r="F141" s="31">
        <f>F140/F65</f>
        <v>-4.2352872232695495E-2</v>
      </c>
      <c r="G141" s="31">
        <f>G140/G65</f>
        <v>2.2009852988769441E-2</v>
      </c>
      <c r="H141" s="31">
        <f>H140/H65</f>
        <v>0.100189575805993</v>
      </c>
      <c r="I141" s="31">
        <f>I140/I65</f>
        <v>0.15945226257561709</v>
      </c>
      <c r="J141" s="31">
        <f>J140/J65</f>
        <v>0.20463841181489559</v>
      </c>
      <c r="K141" s="31">
        <f>K140/K65</f>
        <v>0.24910136390950902</v>
      </c>
      <c r="L141" s="31">
        <f>L140/L65</f>
        <v>0.27561213776573928</v>
      </c>
      <c r="M141" s="31">
        <f>M140/M65</f>
        <v>0.29672098880833753</v>
      </c>
      <c r="N141" s="31">
        <f>N140/N65</f>
        <v>0.31130313568467427</v>
      </c>
      <c r="O141" s="31">
        <f>O140/O65</f>
        <v>0.32355886024217312</v>
      </c>
      <c r="P141" s="31">
        <f>P140/P65</f>
        <v>0.32636166480326684</v>
      </c>
      <c r="Q141" s="31">
        <f>Q140/Q65</f>
        <v>0.32367179174289207</v>
      </c>
      <c r="R141" s="31">
        <f>R140/R65</f>
        <v>0.32499779823306602</v>
      </c>
      <c r="S141" s="31">
        <f>S140/S65</f>
        <v>0.32558040465245941</v>
      </c>
    </row>
    <row r="142" spans="1:19" x14ac:dyDescent="0.3">
      <c r="A142" s="3" t="s">
        <v>444</v>
      </c>
      <c r="B142" s="41">
        <f>-Historicals!B130/Historicals!B7</f>
        <v>4.878048780487805E-2</v>
      </c>
      <c r="C142" s="41">
        <f>-Historicals!C130/Historicals!C7</f>
        <v>3.8860103626943004E-2</v>
      </c>
      <c r="D142" s="41">
        <f>-Historicals!D130/Historicals!D7</f>
        <v>2.8571428571428571E-2</v>
      </c>
      <c r="E142" s="31">
        <f>-(E137+E138)/E65</f>
        <v>0.14852941583437168</v>
      </c>
      <c r="F142" s="31">
        <f>-(F137+F138)/F65</f>
        <v>0.18335247982898129</v>
      </c>
      <c r="G142" s="31">
        <f>-(G137+G138)/G65</f>
        <v>0.18470630999247928</v>
      </c>
      <c r="H142" s="31">
        <f>-(H137+H138)/H65</f>
        <v>0.16257726428106503</v>
      </c>
      <c r="I142" s="31">
        <f>-(I137+I138)/I65</f>
        <v>0.14764992482052089</v>
      </c>
      <c r="J142" s="31">
        <f>-(J137+J138)/J65</f>
        <v>0.13543805167448758</v>
      </c>
      <c r="K142" s="31">
        <f>-(K137+K138)/K65</f>
        <v>0.11682115910589652</v>
      </c>
      <c r="L142" s="31">
        <f>-(L137+L138)/L65</f>
        <v>0.10606854825400786</v>
      </c>
      <c r="M142" s="31">
        <f>-(M137+M138)/M65</f>
        <v>9.9849064915850813E-2</v>
      </c>
      <c r="N142" s="31">
        <f>-(N137+N138)/N65</f>
        <v>9.1600752377751588E-2</v>
      </c>
      <c r="O142" s="31">
        <f>-(O137+O138)/O65</f>
        <v>8.4607833193536694E-2</v>
      </c>
      <c r="P142" s="31">
        <f>-(P137+P138)/P65</f>
        <v>8.3237485506301792E-2</v>
      </c>
      <c r="Q142" s="31">
        <f>-(Q137+Q138)/Q65</f>
        <v>8.4112572685946546E-2</v>
      </c>
      <c r="R142" s="31">
        <f>-(R137+R138)/R65</f>
        <v>8.0996753178050204E-2</v>
      </c>
      <c r="S142" s="31">
        <f>-(S137+S138)/S65</f>
        <v>7.8016742140479364E-2</v>
      </c>
    </row>
    <row r="143" spans="1:19" x14ac:dyDescent="0.3">
      <c r="A143" s="3" t="s">
        <v>445</v>
      </c>
      <c r="B143" s="77">
        <f>Historicals!B148</f>
        <v>-1629</v>
      </c>
      <c r="C143" s="77">
        <f>Historicals!C148</f>
        <v>-5707</v>
      </c>
      <c r="D143" s="77">
        <f>Historicals!D148</f>
        <v>-2768</v>
      </c>
      <c r="E143" s="9"/>
      <c r="F143" s="9"/>
      <c r="G143" s="9"/>
      <c r="H143" s="9"/>
      <c r="I143" s="9"/>
      <c r="J143" s="9"/>
      <c r="K143" s="9"/>
      <c r="L143" s="9"/>
      <c r="M143" s="9"/>
      <c r="N143" s="9"/>
      <c r="O143" s="9"/>
      <c r="P143" s="9"/>
      <c r="Q143" s="9"/>
      <c r="R143" s="9"/>
      <c r="S143" s="9"/>
    </row>
    <row r="144" spans="1:19" ht="3" customHeight="1" x14ac:dyDescent="0.3"/>
    <row r="145" spans="1:19" x14ac:dyDescent="0.3">
      <c r="A145" s="5" t="s">
        <v>446</v>
      </c>
      <c r="B145" s="5"/>
      <c r="C145" s="5"/>
      <c r="D145" s="5"/>
      <c r="E145" s="5"/>
      <c r="F145" s="5"/>
      <c r="G145" s="5"/>
      <c r="H145" s="5"/>
      <c r="I145" s="5"/>
      <c r="J145" s="5"/>
      <c r="K145" s="5"/>
      <c r="L145" s="5"/>
      <c r="M145" s="5"/>
      <c r="N145" s="5"/>
      <c r="O145" s="5"/>
      <c r="P145" s="5"/>
      <c r="Q145" s="5"/>
      <c r="R145" s="5"/>
      <c r="S145" s="5"/>
    </row>
    <row r="146" spans="1:19" x14ac:dyDescent="0.3">
      <c r="A146" s="1" t="s">
        <v>447</v>
      </c>
      <c r="B146" s="51"/>
      <c r="C146" s="51"/>
      <c r="D146" s="51"/>
      <c r="E146" s="52">
        <f>MAX(0,(Actuals!$B$10-Actuals!$B$8)/365)</f>
        <v>0.50410958904109593</v>
      </c>
      <c r="F146" s="54">
        <f>1</f>
        <v>1</v>
      </c>
      <c r="G146" s="54">
        <f>1</f>
        <v>1</v>
      </c>
      <c r="H146" s="54">
        <f>1</f>
        <v>1</v>
      </c>
      <c r="I146" s="54">
        <f>1</f>
        <v>1</v>
      </c>
      <c r="J146" s="54">
        <f>1</f>
        <v>1</v>
      </c>
      <c r="K146" s="54">
        <f>1</f>
        <v>1</v>
      </c>
      <c r="L146" s="54">
        <f>1</f>
        <v>1</v>
      </c>
      <c r="M146" s="54">
        <f>1</f>
        <v>1</v>
      </c>
      <c r="N146" s="54">
        <f>1</f>
        <v>1</v>
      </c>
      <c r="O146" s="54">
        <f>1</f>
        <v>1</v>
      </c>
      <c r="P146" s="54">
        <f>1</f>
        <v>1</v>
      </c>
      <c r="Q146" s="54">
        <f>1</f>
        <v>1</v>
      </c>
      <c r="R146" s="54">
        <f>1</f>
        <v>1</v>
      </c>
      <c r="S146" s="54">
        <f>1</f>
        <v>1</v>
      </c>
    </row>
    <row r="147" spans="1:19" x14ac:dyDescent="0.3">
      <c r="A147" s="1" t="s">
        <v>448</v>
      </c>
      <c r="B147" s="51"/>
      <c r="C147" s="51"/>
      <c r="D147" s="51"/>
      <c r="E147" s="54">
        <f>E146/2</f>
        <v>0.25205479452054796</v>
      </c>
      <c r="F147" s="54">
        <f>E147+(E146+F146)/2</f>
        <v>1.004109589041096</v>
      </c>
      <c r="G147" s="54">
        <f>F147+(F146+G146)/2</f>
        <v>2.004109589041096</v>
      </c>
      <c r="H147" s="54">
        <f>G147+(G146+H146)/2</f>
        <v>3.004109589041096</v>
      </c>
      <c r="I147" s="54">
        <f>H147+(H146+I146)/2</f>
        <v>4.0041095890410965</v>
      </c>
      <c r="J147" s="54">
        <f>I147+(I146+J146)/2</f>
        <v>5.0041095890410965</v>
      </c>
      <c r="K147" s="54">
        <f>J147+(J146+K146)/2</f>
        <v>6.0041095890410965</v>
      </c>
      <c r="L147" s="54">
        <f>K147+(K146+L146)/2</f>
        <v>7.0041095890410965</v>
      </c>
      <c r="M147" s="54">
        <f>L147+(L146+M146)/2</f>
        <v>8.0041095890410965</v>
      </c>
      <c r="N147" s="54">
        <f>M147+(M146+N146)/2</f>
        <v>9.0041095890410965</v>
      </c>
      <c r="O147" s="54">
        <f>N147+(N146+O146)/2</f>
        <v>10.004109589041096</v>
      </c>
      <c r="P147" s="54">
        <f>O147+(O146+P146)/2</f>
        <v>11.004109589041096</v>
      </c>
      <c r="Q147" s="54">
        <f>P147+(P146+Q146)/2</f>
        <v>12.004109589041096</v>
      </c>
      <c r="R147" s="54">
        <f>Q147+(Q146+R146)/2</f>
        <v>13.004109589041096</v>
      </c>
      <c r="S147" s="54">
        <f>R147+(R146+S146)/2</f>
        <v>14.004109589041096</v>
      </c>
    </row>
    <row r="148" spans="1:19" x14ac:dyDescent="0.3">
      <c r="A148" s="1" t="s">
        <v>716</v>
      </c>
      <c r="B148" s="9"/>
      <c r="C148" s="9"/>
      <c r="D148" s="9"/>
      <c r="E148" s="30">
        <f>E140-E52</f>
        <v>-10283.497020997474</v>
      </c>
      <c r="F148" s="30">
        <f>F140*F146</f>
        <v>-4801.4882874661516</v>
      </c>
      <c r="G148" s="30">
        <f>G140*G146</f>
        <v>3968.371421704509</v>
      </c>
      <c r="H148" s="30">
        <f>H140*H146</f>
        <v>25222.107114171264</v>
      </c>
      <c r="I148" s="30">
        <f>I140*I146</f>
        <v>52034.742212435209</v>
      </c>
      <c r="J148" s="30">
        <f>J140*J146</f>
        <v>82563.558011573463</v>
      </c>
      <c r="K148" s="30">
        <f>K140*K146</f>
        <v>119235.30074386888</v>
      </c>
      <c r="L148" s="30">
        <f>L140*L146</f>
        <v>151244.08306370876</v>
      </c>
      <c r="M148" s="30">
        <f>M140*M146</f>
        <v>182081.35582852067</v>
      </c>
      <c r="N148" s="30">
        <f>N140*N146</f>
        <v>209799.88835480314</v>
      </c>
      <c r="O148" s="30">
        <f>O140*O146</f>
        <v>236217.67092995925</v>
      </c>
      <c r="P148" s="30">
        <f>P140*P146</f>
        <v>254738.01727941615</v>
      </c>
      <c r="Q148" s="30">
        <f>Q140*Q146</f>
        <v>267580.94179455569</v>
      </c>
      <c r="R148" s="30">
        <f>R140*R146</f>
        <v>281882.37906316231</v>
      </c>
      <c r="S148" s="30">
        <f>S140*S146</f>
        <v>293683.20253334782</v>
      </c>
    </row>
    <row r="149" spans="1:19" x14ac:dyDescent="0.3">
      <c r="A149" s="1" t="s">
        <v>449</v>
      </c>
      <c r="B149" s="98"/>
      <c r="C149" s="98"/>
      <c r="D149" s="98"/>
      <c r="E149" s="99">
        <f>1/(1+$E$38)^E147</f>
        <v>0.96887087613611356</v>
      </c>
      <c r="F149" s="99">
        <f>1/(1+$E$38)^F147</f>
        <v>0.8816323775498055</v>
      </c>
      <c r="G149" s="99">
        <f>1/(1+$E$38)^G147</f>
        <v>0.77767652168748702</v>
      </c>
      <c r="H149" s="99">
        <f>1/(1+$E$38)^H147</f>
        <v>0.68597840526765674</v>
      </c>
      <c r="I149" s="99">
        <f>1/(1+$E$38)^I147</f>
        <v>0.6050926823307865</v>
      </c>
      <c r="J149" s="99">
        <f>1/(1+$E$38)^J147</f>
        <v>0.53374443189272969</v>
      </c>
      <c r="K149" s="99">
        <f>1/(1+$E$38)^K147</f>
        <v>0.47080906263671429</v>
      </c>
      <c r="L149" s="99">
        <f>1/(1+$E$38)^L147</f>
        <v>0.41529458710196038</v>
      </c>
      <c r="M149" s="99">
        <f>1/(1+$E$38)^M147</f>
        <v>0.36632598597463434</v>
      </c>
      <c r="N149" s="99">
        <f>1/(1+$E$38)^N147</f>
        <v>0.32313141603105316</v>
      </c>
      <c r="O149" s="99">
        <f>1/(1+$E$38)^O147</f>
        <v>0.28503004434270063</v>
      </c>
      <c r="P149" s="99">
        <f>1/(1+$E$38)^P147</f>
        <v>0.25142131698576303</v>
      </c>
      <c r="Q149" s="99">
        <f>1/(1+$E$38)^Q147</f>
        <v>0.22177549310855429</v>
      </c>
      <c r="R149" s="99">
        <f>1/(1+$E$38)^R147</f>
        <v>0.19562529515477617</v>
      </c>
      <c r="S149" s="99">
        <f>1/(1+$E$38)^S147</f>
        <v>0.17255854363340906</v>
      </c>
    </row>
    <row r="150" spans="1:19" x14ac:dyDescent="0.3">
      <c r="A150" s="10" t="s">
        <v>450</v>
      </c>
      <c r="B150" s="12"/>
      <c r="C150" s="12"/>
      <c r="D150" s="12"/>
      <c r="E150" s="34">
        <f>E148*E149</f>
        <v>-9963.3807684769363</v>
      </c>
      <c r="F150" s="34">
        <f>F148*F149</f>
        <v>-4233.1475346563275</v>
      </c>
      <c r="G150" s="34">
        <f>G148*G149</f>
        <v>3086.1092839951903</v>
      </c>
      <c r="H150" s="34">
        <f>H148*H149</f>
        <v>17301.820815669224</v>
      </c>
      <c r="I150" s="34">
        <f>I148*I149</f>
        <v>31485.841739713425</v>
      </c>
      <c r="J150" s="34">
        <f>J148*J149</f>
        <v>44067.839365929707</v>
      </c>
      <c r="K150" s="34">
        <f>K148*K149</f>
        <v>56137.060176427629</v>
      </c>
      <c r="L150" s="34">
        <f>L148*L149</f>
        <v>62810.849027557531</v>
      </c>
      <c r="M150" s="34">
        <f>M148*M149</f>
        <v>66701.132201481072</v>
      </c>
      <c r="N150" s="34">
        <f>N148*N149</f>
        <v>67792.935007244407</v>
      </c>
      <c r="O150" s="34">
        <f>O148*O149</f>
        <v>67329.133219695752</v>
      </c>
      <c r="P150" s="34">
        <f>P148*P149</f>
        <v>64046.567790732865</v>
      </c>
      <c r="Q150" s="34">
        <f>Q148*Q149</f>
        <v>59342.895312938956</v>
      </c>
      <c r="R150" s="34">
        <f>R148*R149</f>
        <v>55143.323603161625</v>
      </c>
      <c r="S150" s="34">
        <f>S148*S149</f>
        <v>50677.545718750007</v>
      </c>
    </row>
    <row r="151" spans="1:19" ht="3" customHeight="1" x14ac:dyDescent="0.3"/>
    <row r="152" spans="1:19" x14ac:dyDescent="0.3">
      <c r="A152" s="5" t="s">
        <v>455</v>
      </c>
      <c r="B152" s="5"/>
      <c r="C152" s="5"/>
      <c r="D152" s="5"/>
      <c r="E152" s="5"/>
      <c r="F152" s="5"/>
      <c r="G152" s="5"/>
      <c r="H152" s="5"/>
      <c r="I152" s="5"/>
      <c r="J152" s="5"/>
      <c r="K152" s="5"/>
      <c r="L152" s="5"/>
      <c r="M152" s="5"/>
      <c r="N152" s="5"/>
      <c r="O152" s="5"/>
      <c r="P152" s="5"/>
      <c r="Q152" s="5"/>
      <c r="R152" s="5"/>
      <c r="S152" s="5"/>
    </row>
    <row r="153" spans="1:19" x14ac:dyDescent="0.3">
      <c r="A153" s="6" t="s">
        <v>456</v>
      </c>
      <c r="B153" s="7" t="s">
        <v>457</v>
      </c>
      <c r="C153" s="7" t="s">
        <v>458</v>
      </c>
      <c r="D153" s="7" t="s">
        <v>459</v>
      </c>
      <c r="E153" s="7"/>
      <c r="F153" s="7"/>
    </row>
    <row r="154" spans="1:19" x14ac:dyDescent="0.3">
      <c r="A154" s="1" t="s">
        <v>460</v>
      </c>
      <c r="B154" s="32">
        <v>0.5</v>
      </c>
    </row>
    <row r="155" spans="1:19" x14ac:dyDescent="0.3">
      <c r="A155" s="1" t="s">
        <v>461</v>
      </c>
      <c r="B155" s="30">
        <f>SUM(E150:S150)</f>
        <v>631726.5249601641</v>
      </c>
      <c r="C155" s="30">
        <f>B155</f>
        <v>631726.5249601641</v>
      </c>
      <c r="D155" s="30">
        <f>B155</f>
        <v>631726.5249601641</v>
      </c>
    </row>
    <row r="156" spans="1:19" x14ac:dyDescent="0.3">
      <c r="A156" s="1" t="s">
        <v>462</v>
      </c>
      <c r="B156" s="30">
        <f>S140</f>
        <v>293683.20253334782</v>
      </c>
      <c r="C156" s="30">
        <f>S114</f>
        <v>458811.94257251028</v>
      </c>
    </row>
    <row r="157" spans="1:19" x14ac:dyDescent="0.3">
      <c r="A157" s="1" t="s">
        <v>503</v>
      </c>
      <c r="B157" s="30">
        <f>S140*(1+$E$35)/($E$39-$E$35)</f>
        <v>4665362.9004823528</v>
      </c>
      <c r="C157" s="30">
        <f>S114*$E$36</f>
        <v>6423367.1960151438</v>
      </c>
    </row>
    <row r="158" spans="1:19" x14ac:dyDescent="0.3">
      <c r="A158" s="1" t="s">
        <v>463</v>
      </c>
      <c r="B158" s="54">
        <f>S147+0.5</f>
        <v>14.504109589041096</v>
      </c>
      <c r="C158" s="54">
        <f>B158</f>
        <v>14.504109589041096</v>
      </c>
    </row>
    <row r="159" spans="1:19" x14ac:dyDescent="0.3">
      <c r="A159" s="1" t="s">
        <v>464</v>
      </c>
      <c r="B159" s="30">
        <f>B157/(1+$E$38)^B158</f>
        <v>756097.19431435387</v>
      </c>
      <c r="C159" s="30">
        <f>C157/(1+$E$38)^C158</f>
        <v>1041010.1032988826</v>
      </c>
      <c r="D159" s="30">
        <f>$B$154*B159+(1-$B$154)*C159</f>
        <v>898553.64880661829</v>
      </c>
    </row>
    <row r="160" spans="1:19" x14ac:dyDescent="0.3">
      <c r="A160" s="27" t="s">
        <v>465</v>
      </c>
      <c r="B160" s="97">
        <f>B155+B159</f>
        <v>1387823.7192745181</v>
      </c>
      <c r="C160" s="97">
        <f>C155+C159</f>
        <v>1672736.6282590467</v>
      </c>
      <c r="D160" s="97">
        <f>$B$154*B160+(1-$B$154)*C160</f>
        <v>1530280.1737667825</v>
      </c>
    </row>
    <row r="161" spans="1:19" x14ac:dyDescent="0.3">
      <c r="A161" s="3" t="s">
        <v>466</v>
      </c>
      <c r="B161" s="31">
        <f>B159/B160</f>
        <v>0.54480780506446602</v>
      </c>
      <c r="C161" s="31">
        <f>C159/C160</f>
        <v>0.62233951580431801</v>
      </c>
      <c r="D161" s="31">
        <f>D159/D160</f>
        <v>0.58718244162755484</v>
      </c>
    </row>
    <row r="162" spans="1:19" x14ac:dyDescent="0.3">
      <c r="A162" s="1" t="s">
        <v>467</v>
      </c>
      <c r="B162" s="77">
        <f>WACC!$B$62</f>
        <v>151251</v>
      </c>
      <c r="C162" s="77">
        <f>WACC!$B$62</f>
        <v>151251</v>
      </c>
      <c r="D162" s="77">
        <f>WACC!$B$62</f>
        <v>151251</v>
      </c>
    </row>
    <row r="163" spans="1:19" x14ac:dyDescent="0.3">
      <c r="A163" s="10" t="s">
        <v>721</v>
      </c>
      <c r="B163" s="34">
        <f>(B160+B162)*Actuals!$B$15</f>
        <v>1603929.1309413114</v>
      </c>
      <c r="C163" s="34">
        <f>(C160+C162)*Actuals!$B$15</f>
        <v>1900847.8632020331</v>
      </c>
      <c r="D163" s="34">
        <f>(D160+D162)*Actuals!$B$15</f>
        <v>1752388.4970716722</v>
      </c>
    </row>
    <row r="164" spans="1:19" x14ac:dyDescent="0.3">
      <c r="A164" s="1" t="s">
        <v>468</v>
      </c>
      <c r="B164" s="65">
        <f>WACC!$B$52</f>
        <v>15663.257426548837</v>
      </c>
      <c r="C164" s="65">
        <f>WACC!$B$52</f>
        <v>15663.257426548837</v>
      </c>
      <c r="D164" s="65">
        <f>WACC!$B$52</f>
        <v>15663.257426548837</v>
      </c>
    </row>
    <row r="165" spans="1:19" x14ac:dyDescent="0.3">
      <c r="A165" s="27" t="s">
        <v>469</v>
      </c>
      <c r="B165" s="102">
        <f>B163/B164</f>
        <v>102.40073870092252</v>
      </c>
      <c r="C165" s="102">
        <f>C163/C164</f>
        <v>121.35712332609324</v>
      </c>
      <c r="D165" s="102">
        <f>D163/D164</f>
        <v>111.87893101350788</v>
      </c>
    </row>
    <row r="166" spans="1:19" x14ac:dyDescent="0.3">
      <c r="A166" s="1" t="s">
        <v>470</v>
      </c>
      <c r="B166" s="103">
        <f>Dashboard!$B$5</f>
        <v>58.9</v>
      </c>
      <c r="C166" s="103">
        <f>Dashboard!$B$5</f>
        <v>58.9</v>
      </c>
      <c r="D166" s="103">
        <f>Dashboard!$B$5</f>
        <v>58.9</v>
      </c>
    </row>
    <row r="167" spans="1:19" x14ac:dyDescent="0.3">
      <c r="A167" s="10" t="s">
        <v>471</v>
      </c>
      <c r="B167" s="104">
        <f>B165/B166-1</f>
        <v>0.73855243974401552</v>
      </c>
      <c r="C167" s="104">
        <f>C165/C166-1</f>
        <v>1.0603925861815493</v>
      </c>
      <c r="D167" s="104">
        <f>D165/D166-1</f>
        <v>0.8994725129627823</v>
      </c>
    </row>
    <row r="168" spans="1:19" x14ac:dyDescent="0.3">
      <c r="A168" s="3" t="s">
        <v>472</v>
      </c>
      <c r="B168" s="105">
        <f>B157/S114</f>
        <v>10.168355414473638</v>
      </c>
    </row>
    <row r="169" spans="1:19" x14ac:dyDescent="0.3">
      <c r="A169" s="3" t="s">
        <v>473</v>
      </c>
      <c r="C169" s="31">
        <f>(C157*$E$39-S140)/(C157+S140)</f>
        <v>5.2052001050875207E-2</v>
      </c>
    </row>
    <row r="170" spans="1:19" x14ac:dyDescent="0.3">
      <c r="A170" s="3" t="s">
        <v>474</v>
      </c>
      <c r="B170" s="85" t="str">
        <f>IF(B161&gt;0.75,"RED &gt;75%",IF(B161&gt;0.6,"YELLOW 60-75%","OK &lt;60%"))</f>
        <v>OK &lt;60%</v>
      </c>
      <c r="C170" s="85" t="str">
        <f>IF(C161&gt;0.75,"RED &gt;75%",IF(C161&gt;0.6,"YELLOW 60-75%","OK &lt;60%"))</f>
        <v>YELLOW 60-75%</v>
      </c>
    </row>
    <row r="171" spans="1:19" ht="3" customHeight="1" x14ac:dyDescent="0.3"/>
    <row r="172" spans="1:19" x14ac:dyDescent="0.3">
      <c r="A172" s="5" t="s">
        <v>475</v>
      </c>
      <c r="B172" s="5"/>
      <c r="C172" s="5"/>
      <c r="D172" s="5"/>
      <c r="E172" s="5"/>
      <c r="F172" s="5"/>
      <c r="G172" s="5"/>
      <c r="H172" s="5"/>
      <c r="I172" s="5"/>
      <c r="J172" s="5"/>
      <c r="K172" s="5"/>
      <c r="L172" s="5"/>
      <c r="M172" s="5"/>
      <c r="N172" s="5"/>
      <c r="O172" s="5"/>
      <c r="P172" s="5"/>
      <c r="Q172" s="5"/>
      <c r="R172" s="5"/>
      <c r="S172" s="5"/>
    </row>
    <row r="173" spans="1:19" x14ac:dyDescent="0.3">
      <c r="A173" s="6" t="s">
        <v>253</v>
      </c>
      <c r="B173" s="7" t="s">
        <v>254</v>
      </c>
      <c r="C173" s="7"/>
      <c r="D173" s="7"/>
      <c r="E173" s="7"/>
      <c r="F173" s="7"/>
    </row>
    <row r="174" spans="1:19" x14ac:dyDescent="0.3">
      <c r="A174" s="1" t="s">
        <v>476</v>
      </c>
      <c r="B174" s="30">
        <f>B166*B164</f>
        <v>922565.86242372647</v>
      </c>
    </row>
    <row r="175" spans="1:19" x14ac:dyDescent="0.3">
      <c r="A175" s="1" t="s">
        <v>722</v>
      </c>
      <c r="B175" s="30">
        <f>B174/Actuals!$B$15-B162</f>
        <v>734011.17794220312</v>
      </c>
    </row>
    <row r="176" spans="1:19" x14ac:dyDescent="0.3">
      <c r="A176" s="1" t="s">
        <v>477</v>
      </c>
      <c r="B176" s="30">
        <f>B175-B155</f>
        <v>102284.65298203903</v>
      </c>
    </row>
    <row r="177" spans="1:8" x14ac:dyDescent="0.3">
      <c r="A177" s="1" t="s">
        <v>478</v>
      </c>
      <c r="B177" s="30">
        <f>B176*(1+$E$38)^B158</f>
        <v>631129.21050295373</v>
      </c>
    </row>
    <row r="178" spans="1:8" x14ac:dyDescent="0.3">
      <c r="A178" s="10" t="s">
        <v>479</v>
      </c>
      <c r="B178" s="58">
        <f>(B177*$E$39-S140)/(B177+S140)</f>
        <v>-0.24921135636838218</v>
      </c>
      <c r="C178" s="10"/>
      <c r="D178" s="10"/>
    </row>
    <row r="179" spans="1:8" x14ac:dyDescent="0.3">
      <c r="A179" s="10" t="s">
        <v>480</v>
      </c>
      <c r="B179" s="106">
        <f>B177/S114</f>
        <v>1.3755727607356485</v>
      </c>
      <c r="C179" s="10"/>
      <c r="D179" s="10"/>
    </row>
    <row r="180" spans="1:8" x14ac:dyDescent="0.3">
      <c r="A180" s="3" t="s">
        <v>481</v>
      </c>
      <c r="B180" s="31">
        <f>B176/B175</f>
        <v>0.1393502661210059</v>
      </c>
    </row>
    <row r="181" spans="1:8" x14ac:dyDescent="0.3">
      <c r="A181" s="1" t="s">
        <v>482</v>
      </c>
      <c r="B181" s="30">
        <f>J114*$E$36+B162+E148+SUM(F140:J140)</f>
        <v>2731572.1397845745</v>
      </c>
    </row>
    <row r="182" spans="1:8" x14ac:dyDescent="0.3">
      <c r="A182" s="1" t="s">
        <v>483</v>
      </c>
      <c r="B182" s="101">
        <f>B181/B164</f>
        <v>174.39361847904172</v>
      </c>
    </row>
    <row r="183" spans="1:8" x14ac:dyDescent="0.3">
      <c r="A183" s="1" t="s">
        <v>717</v>
      </c>
      <c r="B183" s="52">
        <f>(Actuals!$B$12-Actuals!$B$11)/365</f>
        <v>5.1808219178082195</v>
      </c>
    </row>
    <row r="184" spans="1:8" x14ac:dyDescent="0.3">
      <c r="A184" s="27" t="s">
        <v>484</v>
      </c>
      <c r="B184" s="107">
        <f>(B182/B166)^(1/B183)-1</f>
        <v>0.233083185383683</v>
      </c>
      <c r="C184" s="27"/>
      <c r="D184" s="27"/>
    </row>
    <row r="185" spans="1:8" x14ac:dyDescent="0.3">
      <c r="A185" s="1" t="s">
        <v>485</v>
      </c>
      <c r="B185" s="105">
        <f>B182/B166</f>
        <v>2.9608424189990106</v>
      </c>
    </row>
    <row r="186" spans="1:8" ht="3" customHeight="1" x14ac:dyDescent="0.3"/>
    <row r="187" spans="1:8" x14ac:dyDescent="0.3">
      <c r="A187" s="5" t="s">
        <v>486</v>
      </c>
      <c r="B187" s="5"/>
      <c r="C187" s="5"/>
      <c r="D187" s="5"/>
      <c r="E187" s="5"/>
      <c r="F187" s="5"/>
    </row>
    <row r="188" spans="1:8" x14ac:dyDescent="0.3">
      <c r="A188" s="6" t="s">
        <v>487</v>
      </c>
      <c r="B188" s="141">
        <f>$E$35-2*$H$188</f>
        <v>2.5000000000000001E-2</v>
      </c>
      <c r="C188" s="141">
        <f>$E$35-$H$188</f>
        <v>3.0000000000000002E-2</v>
      </c>
      <c r="D188" s="141">
        <f>$E$35</f>
        <v>3.5000000000000003E-2</v>
      </c>
      <c r="E188" s="141">
        <f>$E$35+$H$188</f>
        <v>0.04</v>
      </c>
      <c r="F188" s="141">
        <f>$E$35+2*$H$188</f>
        <v>4.5000000000000005E-2</v>
      </c>
      <c r="G188" s="3" t="s">
        <v>718</v>
      </c>
      <c r="H188" s="42">
        <v>5.0000000000000001E-3</v>
      </c>
    </row>
    <row r="189" spans="1:8" x14ac:dyDescent="0.3">
      <c r="A189" s="109">
        <f>$E$38-2*$H$189</f>
        <v>0.11367493162419763</v>
      </c>
      <c r="B189" s="101" cm="1">
        <f t="array" ref="B189">(SUMPRODUCT($E$148:$S$148,(1+$A189)^(-$E$147:$S$147))+$S$140*(1+B$188)/(($A189+$E$39-$E$38)-B$188)*(1+$A189)^(-$B$158)+$B$162)*Actuals!$B$15/$B$164</f>
        <v>135.85865172454783</v>
      </c>
      <c r="C189" s="101" cm="1">
        <f t="array" ref="C189">(SUMPRODUCT($E$148:$S$148,(1+$A189)^(-$E$147:$S$147))+$S$140*(1+C$188)/(($A189+$E$39-$E$38)-C$188)*(1+$A189)^(-$B$158)+$B$162)*Actuals!$B$15/$B$164</f>
        <v>143.86294641351239</v>
      </c>
      <c r="D189" s="101" cm="1">
        <f t="array" ref="D189">(SUMPRODUCT($E$148:$S$148,(1+$A189)^(-$E$147:$S$147))+$S$140*(1+D$188)/(($A189+$E$39-$E$38)-D$188)*(1+$A189)^(-$B$158)+$B$162)*Actuals!$B$15/$B$164</f>
        <v>153.63994836814138</v>
      </c>
      <c r="E189" s="101" cm="1">
        <f t="array" ref="E189">(SUMPRODUCT($E$148:$S$148,(1+$A189)^(-$E$147:$S$147))+$S$140*(1+E$188)/(($A189+$E$39-$E$38)-E$188)*(1+$A189)^(-$B$158)+$B$162)*Actuals!$B$15/$B$164</f>
        <v>165.85189074510694</v>
      </c>
      <c r="F189" s="101" cm="1">
        <f t="array" ref="F189">(SUMPRODUCT($E$148:$S$148,(1+$A189)^(-$E$147:$S$147))+$S$140*(1+F$188)/(($A189+$E$39-$E$38)-F$188)*(1+$A189)^(-$B$158)+$B$162)*Actuals!$B$15/$B$164</f>
        <v>181.53777924671124</v>
      </c>
      <c r="G189" s="3" t="s">
        <v>719</v>
      </c>
      <c r="H189" s="42">
        <v>0.01</v>
      </c>
    </row>
    <row r="190" spans="1:8" x14ac:dyDescent="0.3">
      <c r="A190" s="109">
        <f>$E$38-$H$189</f>
        <v>0.12367493162419764</v>
      </c>
      <c r="B190" s="101" cm="1">
        <f t="array" ref="B190">(SUMPRODUCT($E$148:$S$148,(1+$A190)^(-$E$147:$S$147))+$S$140*(1+B$188)/(($A190+$E$39-$E$38)-B$188)*(1+$A190)^(-$B$158)+$B$162)*Actuals!$B$15/$B$164</f>
        <v>112.34621235601207</v>
      </c>
      <c r="C190" s="101" cm="1">
        <f t="array" ref="C190">(SUMPRODUCT($E$148:$S$148,(1+$A190)^(-$E$147:$S$147))+$S$140*(1+C$188)/(($A190+$E$39-$E$38)-C$188)*(1+$A190)^(-$B$158)+$B$162)*Actuals!$B$15/$B$164</f>
        <v>117.35451870342942</v>
      </c>
      <c r="D190" s="101" cm="1">
        <f t="array" ref="D190">(SUMPRODUCT($E$148:$S$148,(1+$A190)^(-$E$147:$S$147))+$S$140*(1+D$188)/(($A190+$E$39-$E$38)-D$188)*(1+$A190)^(-$B$158)+$B$162)*Actuals!$B$15/$B$164</f>
        <v>123.27090107373597</v>
      </c>
      <c r="E190" s="101" cm="1">
        <f t="array" ref="E190">(SUMPRODUCT($E$148:$S$148,(1+$A190)^(-$E$147:$S$147))+$S$140*(1+E$188)/(($A190+$E$39-$E$38)-E$188)*(1+$A190)^(-$B$158)+$B$162)*Actuals!$B$15/$B$164</f>
        <v>130.36695152163122</v>
      </c>
      <c r="F190" s="101" cm="1">
        <f t="array" ref="F190">(SUMPRODUCT($E$148:$S$148,(1+$A190)^(-$E$147:$S$147))+$S$140*(1+F$188)/(($A190+$E$39-$E$38)-F$188)*(1+$A190)^(-$B$158)+$B$162)*Actuals!$B$15/$B$164</f>
        <v>139.03456082328125</v>
      </c>
      <c r="G190" s="3"/>
    </row>
    <row r="191" spans="1:8" x14ac:dyDescent="0.3">
      <c r="A191" s="109">
        <f>$E$38</f>
        <v>0.13367493162419763</v>
      </c>
      <c r="B191" s="101" cm="1">
        <f t="array" ref="B191">(SUMPRODUCT($E$148:$S$148,(1+$A191)^(-$E$147:$S$147))+$S$140*(1+B$188)/(($A191+$E$39-$E$38)-B$188)*(1+$A191)^(-$B$158)+$B$162)*Actuals!$B$15/$B$164</f>
        <v>95.2855283460664</v>
      </c>
      <c r="C191" s="101" cm="1">
        <f t="array" ref="C191">(SUMPRODUCT($E$148:$S$148,(1+$A191)^(-$E$147:$S$147))+$S$140*(1+C$188)/(($A191+$E$39-$E$38)-C$188)*(1+$A191)^(-$B$158)+$B$162)*Actuals!$B$15/$B$164</f>
        <v>98.589572866038992</v>
      </c>
      <c r="D191" s="168" cm="1">
        <f t="array" ref="D191">(SUMPRODUCT($E$148:$S$148,(1+$A191)^(-$E$147:$S$147))+$S$140*(1+D$188)/(($A191+$E$39-$E$38)-D$188)*(1+$A191)^(-$B$158)+$B$162)*Actuals!$B$15/$B$164</f>
        <v>102.40073870092249</v>
      </c>
      <c r="E191" s="101" cm="1">
        <f t="array" ref="E191">(SUMPRODUCT($E$148:$S$148,(1+$A191)^(-$E$147:$S$147))+$S$140*(1+E$188)/(($A191+$E$39-$E$38)-E$188)*(1+$A191)^(-$B$158)+$B$162)*Actuals!$B$15/$B$164</f>
        <v>106.84548383556174</v>
      </c>
      <c r="F191" s="101" cm="1">
        <f t="array" ref="F191">(SUMPRODUCT($E$148:$S$148,(1+$A191)^(-$E$147:$S$147))+$S$140*(1+F$188)/(($A191+$E$39-$E$38)-F$188)*(1+$A191)^(-$B$158)+$B$162)*Actuals!$B$15/$B$164</f>
        <v>112.0961234592034</v>
      </c>
      <c r="G191" s="3"/>
    </row>
    <row r="192" spans="1:8" x14ac:dyDescent="0.3">
      <c r="A192" s="109">
        <f>$E$38+$H$189</f>
        <v>0.14367493162419764</v>
      </c>
      <c r="B192" s="101" cm="1">
        <f t="array" ref="B192">(SUMPRODUCT($E$148:$S$148,(1+$A192)^(-$E$147:$S$147))+$S$140*(1+B$188)/(($A192+$E$39-$E$38)-B$188)*(1+$A192)^(-$B$158)+$B$162)*Actuals!$B$15/$B$164</f>
        <v>82.390462457445167</v>
      </c>
      <c r="C192" s="101" cm="1">
        <f t="array" ref="C192">(SUMPRODUCT($E$148:$S$148,(1+$A192)^(-$E$147:$S$147))+$S$140*(1+C$188)/(($A192+$E$39-$E$38)-C$188)*(1+$A192)^(-$B$158)+$B$162)*Actuals!$B$15/$B$164</f>
        <v>84.657866245057292</v>
      </c>
      <c r="D192" s="101" cm="1">
        <f t="array" ref="D192">(SUMPRODUCT($E$148:$S$148,(1+$A192)^(-$E$147:$S$147))+$S$140*(1+D$188)/(($A192+$E$39-$E$38)-D$188)*(1+$A192)^(-$B$158)+$B$162)*Actuals!$B$15/$B$164</f>
        <v>87.226975295579592</v>
      </c>
      <c r="E192" s="101" cm="1">
        <f t="array" ref="E192">(SUMPRODUCT($E$148:$S$148,(1+$A192)^(-$E$147:$S$147))+$S$140*(1+E$188)/(($A192+$E$39-$E$38)-E$188)*(1+$A192)^(-$B$158)+$B$162)*Actuals!$B$15/$B$164</f>
        <v>90.162299790164283</v>
      </c>
      <c r="F192" s="101" cm="1">
        <f t="array" ref="F192">(SUMPRODUCT($E$148:$S$148,(1+$A192)^(-$E$147:$S$147))+$S$140*(1+F$188)/(($A192+$E$39-$E$38)-F$188)*(1+$A192)^(-$B$158)+$B$162)*Actuals!$B$15/$B$164</f>
        <v>93.548152601902657</v>
      </c>
      <c r="G192" s="3"/>
    </row>
    <row r="193" spans="1:8" x14ac:dyDescent="0.3">
      <c r="A193" s="109">
        <f>$E$38+2*$H$189</f>
        <v>0.15367493162419762</v>
      </c>
      <c r="B193" s="101" cm="1">
        <f t="array" ref="B193">(SUMPRODUCT($E$148:$S$148,(1+$A193)^(-$E$147:$S$147))+$S$140*(1+B$188)/(($A193+$E$39-$E$38)-B$188)*(1+$A193)^(-$B$158)+$B$162)*Actuals!$B$15/$B$164</f>
        <v>72.337187616110313</v>
      </c>
      <c r="C193" s="101" cm="1">
        <f t="array" ref="C193">(SUMPRODUCT($E$148:$S$148,(1+$A193)^(-$E$147:$S$147))+$S$140*(1+C$188)/(($A193+$E$39-$E$38)-C$188)*(1+$A193)^(-$B$158)+$B$162)*Actuals!$B$15/$B$164</f>
        <v>73.941549944163825</v>
      </c>
      <c r="D193" s="101" cm="1">
        <f t="array" ref="D193">(SUMPRODUCT($E$148:$S$148,(1+$A193)^(-$E$147:$S$147))+$S$140*(1+D$188)/(($A193+$E$39-$E$38)-D$188)*(1+$A193)^(-$B$158)+$B$162)*Actuals!$B$15/$B$164</f>
        <v>75.734321774682826</v>
      </c>
      <c r="E193" s="101" cm="1">
        <f t="array" ref="E193">(SUMPRODUCT($E$148:$S$148,(1+$A193)^(-$E$147:$S$147))+$S$140*(1+E$188)/(($A193+$E$39-$E$38)-E$188)*(1+$A193)^(-$B$158)+$B$162)*Actuals!$B$15/$B$164</f>
        <v>77.750762481752716</v>
      </c>
      <c r="F193" s="101" cm="1">
        <f t="array" ref="F193">(SUMPRODUCT($E$148:$S$148,(1+$A193)^(-$E$147:$S$147))+$S$140*(1+F$188)/(($A193+$E$39-$E$38)-F$188)*(1+$A193)^(-$B$158)+$B$162)*Actuals!$B$15/$B$164</f>
        <v>80.035514804509731</v>
      </c>
      <c r="G193" s="3"/>
    </row>
    <row r="194" spans="1:8" ht="3" customHeight="1" x14ac:dyDescent="0.3">
      <c r="G194" s="3"/>
    </row>
    <row r="195" spans="1:8" x14ac:dyDescent="0.3">
      <c r="A195" s="5" t="s">
        <v>488</v>
      </c>
      <c r="B195" s="5"/>
      <c r="C195" s="5"/>
      <c r="D195" s="5"/>
      <c r="E195" s="5"/>
      <c r="F195" s="5"/>
      <c r="G195" s="3"/>
    </row>
    <row r="196" spans="1:8" x14ac:dyDescent="0.3">
      <c r="A196" s="6" t="s">
        <v>489</v>
      </c>
      <c r="B196" s="142">
        <f>$E$36-2*$H$196</f>
        <v>10</v>
      </c>
      <c r="C196" s="142">
        <f>$E$36-$H$196</f>
        <v>12</v>
      </c>
      <c r="D196" s="142">
        <f>$E$36</f>
        <v>14</v>
      </c>
      <c r="E196" s="142">
        <f>$E$36+$H$196</f>
        <v>16</v>
      </c>
      <c r="F196" s="142">
        <f>$E$36+2*$H$196</f>
        <v>18</v>
      </c>
      <c r="G196" s="3" t="s">
        <v>720</v>
      </c>
      <c r="H196" s="148">
        <v>2</v>
      </c>
    </row>
    <row r="197" spans="1:8" x14ac:dyDescent="0.3">
      <c r="A197" s="109">
        <f>$E$38-2*$H$189</f>
        <v>0.11367493162419763</v>
      </c>
      <c r="B197" s="101" cm="1">
        <f t="array" ref="B197">(SUMPRODUCT($E$148:$S$148,(1+$A197)^(-$E$147:$S$147))+$S$114*B$196*(1+$A197)^(-$B$158)+$B$162)*Actuals!$B$15/$B$164</f>
        <v>123.71586921408354</v>
      </c>
      <c r="C197" s="101" cm="1">
        <f t="array" ref="C197">(SUMPRODUCT($E$148:$S$148,(1+$A197)^(-$E$147:$S$147))+$S$114*C$196*(1+$A197)^(-$B$158)+$B$162)*Actuals!$B$15/$B$164</f>
        <v>136.5249657526418</v>
      </c>
      <c r="D197" s="101" cm="1">
        <f t="array" ref="D197">(SUMPRODUCT($E$148:$S$148,(1+$A197)^(-$E$147:$S$147))+$S$114*D$196*(1+$A197)^(-$B$158)+$B$162)*Actuals!$B$15/$B$164</f>
        <v>149.33406229120007</v>
      </c>
      <c r="E197" s="101" cm="1">
        <f t="array" ref="E197">(SUMPRODUCT($E$148:$S$148,(1+$A197)^(-$E$147:$S$147))+$S$114*E$196*(1+$A197)^(-$B$158)+$B$162)*Actuals!$B$15/$B$164</f>
        <v>162.14315882975831</v>
      </c>
      <c r="F197" s="101" cm="1">
        <f t="array" ref="F197">(SUMPRODUCT($E$148:$S$148,(1+$A197)^(-$E$147:$S$147))+$S$114*F$196*(1+$A197)^(-$B$158)+$B$162)*Actuals!$B$15/$B$164</f>
        <v>174.95225536831654</v>
      </c>
    </row>
    <row r="198" spans="1:8" x14ac:dyDescent="0.3">
      <c r="A198" s="109">
        <f>$E$38-$H$189</f>
        <v>0.12367493162419764</v>
      </c>
      <c r="B198" s="101" cm="1">
        <f t="array" ref="B198">(SUMPRODUCT($E$148:$S$148,(1+$A198)^(-$E$147:$S$147))+$S$114*B$196*(1+$A198)^(-$B$158)+$B$162)*Actuals!$B$15/$B$164</f>
        <v>111.95178901348666</v>
      </c>
      <c r="C198" s="101" cm="1">
        <f t="array" ref="C198">(SUMPRODUCT($E$148:$S$148,(1+$A198)^(-$E$147:$S$147))+$S$114*C$196*(1+$A198)^(-$B$158)+$B$162)*Actuals!$B$15/$B$164</f>
        <v>123.20327660282059</v>
      </c>
      <c r="D198" s="101" cm="1">
        <f t="array" ref="D198">(SUMPRODUCT($E$148:$S$148,(1+$A198)^(-$E$147:$S$147))+$S$114*D$196*(1+$A198)^(-$B$158)+$B$162)*Actuals!$B$15/$B$164</f>
        <v>134.45476419215453</v>
      </c>
      <c r="E198" s="101" cm="1">
        <f t="array" ref="E198">(SUMPRODUCT($E$148:$S$148,(1+$A198)^(-$E$147:$S$147))+$S$114*E$196*(1+$A198)^(-$B$158)+$B$162)*Actuals!$B$15/$B$164</f>
        <v>145.70625178148848</v>
      </c>
      <c r="F198" s="101" cm="1">
        <f t="array" ref="F198">(SUMPRODUCT($E$148:$S$148,(1+$A198)^(-$E$147:$S$147))+$S$114*F$196*(1+$A198)^(-$B$158)+$B$162)*Actuals!$B$15/$B$164</f>
        <v>156.95773937082242</v>
      </c>
    </row>
    <row r="199" spans="1:8" x14ac:dyDescent="0.3">
      <c r="A199" s="109">
        <f>$E$38</f>
        <v>0.13367493162419763</v>
      </c>
      <c r="B199" s="101" cm="1">
        <f t="array" ref="B199">(SUMPRODUCT($E$148:$S$148,(1+$A199)^(-$E$147:$S$147))+$S$114*B$196*(1+$A199)^(-$B$158)+$B$162)*Actuals!$B$15/$B$164</f>
        <v>101.56783003226687</v>
      </c>
      <c r="C199" s="101" cm="1">
        <f t="array" ref="C199">(SUMPRODUCT($E$148:$S$148,(1+$A199)^(-$E$147:$S$147))+$S$114*C$196*(1+$A199)^(-$B$158)+$B$162)*Actuals!$B$15/$B$164</f>
        <v>111.46247667918006</v>
      </c>
      <c r="D199" s="168" cm="1">
        <f t="array" ref="D199">(SUMPRODUCT($E$148:$S$148,(1+$A199)^(-$E$147:$S$147))+$S$114*D$196*(1+$A199)^(-$B$158)+$B$162)*Actuals!$B$15/$B$164</f>
        <v>121.35712332609324</v>
      </c>
      <c r="E199" s="101" cm="1">
        <f t="array" ref="E199">(SUMPRODUCT($E$148:$S$148,(1+$A199)^(-$E$147:$S$147))+$S$114*E$196*(1+$A199)^(-$B$158)+$B$162)*Actuals!$B$15/$B$164</f>
        <v>131.25176997300642</v>
      </c>
      <c r="F199" s="101" cm="1">
        <f t="array" ref="F199">(SUMPRODUCT($E$148:$S$148,(1+$A199)^(-$E$147:$S$147))+$S$114*F$196*(1+$A199)^(-$B$158)+$B$162)*Actuals!$B$15/$B$164</f>
        <v>141.14641661991962</v>
      </c>
    </row>
    <row r="200" spans="1:8" x14ac:dyDescent="0.3">
      <c r="A200" s="109">
        <f>$E$38+$H$189</f>
        <v>0.14367493162419764</v>
      </c>
      <c r="B200" s="101" cm="1">
        <f t="array" ref="B200">(SUMPRODUCT($E$148:$S$148,(1+$A200)^(-$E$147:$S$147))+$S$114*B$196*(1+$A200)^(-$B$158)+$B$162)*Actuals!$B$15/$B$164</f>
        <v>92.386940482939167</v>
      </c>
      <c r="C200" s="101" cm="1">
        <f t="array" ref="C200">(SUMPRODUCT($E$148:$S$148,(1+$A200)^(-$E$147:$S$147))+$S$114*C$196*(1+$A200)^(-$B$158)+$B$162)*Actuals!$B$15/$B$164</f>
        <v>101.09819630766916</v>
      </c>
      <c r="D200" s="101" cm="1">
        <f t="array" ref="D200">(SUMPRODUCT($E$148:$S$148,(1+$A200)^(-$E$147:$S$147))+$S$114*D$196*(1+$A200)^(-$B$158)+$B$162)*Actuals!$B$15/$B$164</f>
        <v>109.80945213239913</v>
      </c>
      <c r="E200" s="101" cm="1">
        <f t="array" ref="E200">(SUMPRODUCT($E$148:$S$148,(1+$A200)^(-$E$147:$S$147))+$S$114*E$196*(1+$A200)^(-$B$158)+$B$162)*Actuals!$B$15/$B$164</f>
        <v>118.52070795712912</v>
      </c>
      <c r="F200" s="101" cm="1">
        <f t="array" ref="F200">(SUMPRODUCT($E$148:$S$148,(1+$A200)^(-$E$147:$S$147))+$S$114*F$196*(1+$A200)^(-$B$158)+$B$162)*Actuals!$B$15/$B$164</f>
        <v>127.23196378185909</v>
      </c>
    </row>
    <row r="201" spans="1:8" x14ac:dyDescent="0.3">
      <c r="A201" s="109">
        <f>$E$38+2*$H$189</f>
        <v>0.15367493162419762</v>
      </c>
      <c r="B201" s="101" cm="1">
        <f t="array" ref="B201">(SUMPRODUCT($E$148:$S$148,(1+$A201)^(-$E$147:$S$147))+$S$114*B$196*(1+$A201)^(-$B$158)+$B$162)*Actuals!$B$15/$B$164</f>
        <v>84.256420743450036</v>
      </c>
      <c r="C201" s="101" cm="1">
        <f t="array" ref="C201">(SUMPRODUCT($E$148:$S$148,(1+$A201)^(-$E$147:$S$147))+$S$114*C$196*(1+$A201)^(-$B$158)+$B$162)*Actuals!$B$15/$B$164</f>
        <v>91.934327731629224</v>
      </c>
      <c r="D201" s="101" cm="1">
        <f t="array" ref="D201">(SUMPRODUCT($E$148:$S$148,(1+$A201)^(-$E$147:$S$147))+$S$114*D$196*(1+$A201)^(-$B$158)+$B$162)*Actuals!$B$15/$B$164</f>
        <v>99.612234719808413</v>
      </c>
      <c r="E201" s="101" cm="1">
        <f t="array" ref="E201">(SUMPRODUCT($E$148:$S$148,(1+$A201)^(-$E$147:$S$147))+$S$114*E$196*(1+$A201)^(-$B$158)+$B$162)*Actuals!$B$15/$B$164</f>
        <v>107.29014170798763</v>
      </c>
      <c r="F201" s="101" cm="1">
        <f t="array" ref="F201">(SUMPRODUCT($E$148:$S$148,(1+$A201)^(-$E$147:$S$147))+$S$114*F$196*(1+$A201)^(-$B$158)+$B$162)*Actuals!$B$15/$B$164</f>
        <v>114.96804869616682</v>
      </c>
    </row>
    <row r="202" spans="1:8" ht="3" customHeight="1" x14ac:dyDescent="0.3"/>
    <row r="203" spans="1:8" x14ac:dyDescent="0.3">
      <c r="A203" s="183" t="s">
        <v>932</v>
      </c>
    </row>
  </sheetData>
  <sheetProtection algorithmName="SHA-512" hashValue="R6dX9CBb56jSpE/7u0CfnNVzCtFqPS+JlNKZI505talnaZxoYPDtEhaT1wdO9pErSh5nz5RkO1Kcj5MuR1M1wg==" saltValue="nUiBiFAjzTiIkOsoGceVwQ==" spinCount="100000" sheet="1" objects="1" scenarios="1" sort="0" autoFilter="0"/>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F4489-221A-4FD1-8ED1-357CD7E214BA}">
  <sheetPr>
    <tabColor rgb="FFB0AEA5"/>
  </sheetPr>
  <dimension ref="A1:Z203"/>
  <sheetViews>
    <sheetView showGridLines="0" workbookViewId="0">
      <pane xSplit="1" ySplit="6" topLeftCell="B7" activePane="bottomRight" state="frozen"/>
      <selection pane="topRight" activeCell="B1" sqref="B1"/>
      <selection pane="bottomLeft" activeCell="A7" sqref="A7"/>
      <selection pane="bottomRight"/>
    </sheetView>
  </sheetViews>
  <sheetFormatPr defaultRowHeight="14.4" x14ac:dyDescent="0.3"/>
  <cols>
    <col min="1" max="1" width="61.109375" style="1" customWidth="1"/>
    <col min="2" max="19" width="14.77734375" style="1" customWidth="1"/>
    <col min="20" max="26" width="8.88671875" style="1"/>
  </cols>
  <sheetData>
    <row r="1" spans="1:19" ht="30" customHeight="1" x14ac:dyDescent="0.4">
      <c r="A1" s="2" t="s">
        <v>873</v>
      </c>
    </row>
    <row r="2" spans="1:19" x14ac:dyDescent="0.3">
      <c r="A2" s="24" t="s">
        <v>700</v>
      </c>
    </row>
    <row r="3" spans="1:19" x14ac:dyDescent="0.3">
      <c r="A3" s="4" t="s">
        <v>451</v>
      </c>
    </row>
    <row r="5" spans="1:19" ht="18" customHeight="1" x14ac:dyDescent="0.35">
      <c r="A5" s="10" t="s">
        <v>452</v>
      </c>
      <c r="B5" s="100">
        <v>1</v>
      </c>
      <c r="C5" s="10" t="str">
        <f>CHOOSE(B5,"◀  BEAR","◀  BASE","◀  BULL")</f>
        <v>◀  BEAR</v>
      </c>
      <c r="D5" s="24" t="s">
        <v>453</v>
      </c>
    </row>
    <row r="6" spans="1:19" x14ac:dyDescent="0.3">
      <c r="A6" s="6" t="s">
        <v>454</v>
      </c>
      <c r="B6" s="7" t="s">
        <v>4</v>
      </c>
      <c r="C6" s="7" t="s">
        <v>5</v>
      </c>
      <c r="D6" s="7" t="s">
        <v>6</v>
      </c>
      <c r="E6" s="7" t="s">
        <v>192</v>
      </c>
      <c r="F6" s="7" t="s">
        <v>193</v>
      </c>
      <c r="G6" s="7" t="s">
        <v>194</v>
      </c>
      <c r="H6" s="7" t="s">
        <v>195</v>
      </c>
      <c r="I6" s="7" t="s">
        <v>196</v>
      </c>
      <c r="J6" s="7" t="s">
        <v>197</v>
      </c>
      <c r="K6" s="7" t="s">
        <v>198</v>
      </c>
      <c r="L6" s="7" t="s">
        <v>199</v>
      </c>
      <c r="M6" s="7" t="s">
        <v>200</v>
      </c>
      <c r="N6" s="7" t="s">
        <v>201</v>
      </c>
      <c r="O6" s="7" t="s">
        <v>202</v>
      </c>
      <c r="P6" s="7" t="s">
        <v>203</v>
      </c>
      <c r="Q6" s="7" t="s">
        <v>204</v>
      </c>
      <c r="R6" s="7" t="s">
        <v>205</v>
      </c>
      <c r="S6" s="7" t="s">
        <v>206</v>
      </c>
    </row>
    <row r="7" spans="1:19" ht="3" customHeight="1" x14ac:dyDescent="0.3"/>
    <row r="8" spans="1:19" x14ac:dyDescent="0.3">
      <c r="A8" s="5" t="s">
        <v>329</v>
      </c>
      <c r="B8" s="5"/>
      <c r="C8" s="5"/>
      <c r="D8" s="5"/>
      <c r="E8" s="5"/>
      <c r="F8" s="5"/>
      <c r="G8" s="5"/>
      <c r="H8" s="5"/>
      <c r="I8" s="5"/>
      <c r="J8" s="5"/>
      <c r="K8" s="5"/>
      <c r="L8" s="5"/>
      <c r="M8" s="5"/>
      <c r="N8" s="5"/>
      <c r="O8" s="5"/>
      <c r="P8" s="5"/>
      <c r="Q8" s="5"/>
      <c r="R8" s="5"/>
      <c r="S8" s="5"/>
    </row>
    <row r="9" spans="1:19" x14ac:dyDescent="0.3">
      <c r="A9" s="1" t="s">
        <v>330</v>
      </c>
      <c r="B9" s="75"/>
      <c r="C9" s="75"/>
      <c r="D9" s="75"/>
      <c r="E9" s="41">
        <f>CHOOSE($B$5,Drivers!E23,Drivers!E54,Drivers!E85)</f>
        <v>0.44128083080917357</v>
      </c>
      <c r="F9" s="75"/>
      <c r="G9" s="75"/>
      <c r="H9" s="75"/>
      <c r="I9" s="75"/>
      <c r="J9" s="75"/>
      <c r="K9" s="75"/>
      <c r="L9" s="75"/>
      <c r="M9" s="75"/>
      <c r="N9" s="75"/>
      <c r="O9" s="75"/>
      <c r="P9" s="75"/>
      <c r="Q9" s="75"/>
      <c r="R9" s="75"/>
      <c r="S9" s="75"/>
    </row>
    <row r="10" spans="1:19" x14ac:dyDescent="0.3">
      <c r="A10" s="1" t="s">
        <v>210</v>
      </c>
      <c r="B10" s="75"/>
      <c r="C10" s="75"/>
      <c r="D10" s="75"/>
      <c r="E10" s="41">
        <f>CHOOSE($B$5,Drivers!E24,Drivers!E55,Drivers!E86)</f>
        <v>0.12</v>
      </c>
      <c r="F10" s="75"/>
      <c r="G10" s="75"/>
      <c r="H10" s="75"/>
      <c r="I10" s="75"/>
      <c r="J10" s="75"/>
      <c r="K10" s="75"/>
      <c r="L10" s="75"/>
      <c r="M10" s="75"/>
      <c r="N10" s="75"/>
      <c r="O10" s="75"/>
      <c r="P10" s="75"/>
      <c r="Q10" s="75"/>
      <c r="R10" s="75"/>
      <c r="S10" s="75"/>
    </row>
    <row r="11" spans="1:19" x14ac:dyDescent="0.3">
      <c r="A11" s="1" t="s">
        <v>331</v>
      </c>
      <c r="B11" s="75"/>
      <c r="C11" s="75"/>
      <c r="D11" s="75"/>
      <c r="E11" s="41">
        <f>CHOOSE($B$5,Drivers!E25,Drivers!E56,Drivers!E87)</f>
        <v>0.2</v>
      </c>
      <c r="F11" s="75"/>
      <c r="G11" s="75"/>
      <c r="H11" s="75"/>
      <c r="I11" s="75"/>
      <c r="J11" s="75"/>
      <c r="K11" s="75"/>
      <c r="L11" s="75"/>
      <c r="M11" s="75"/>
      <c r="N11" s="75"/>
      <c r="O11" s="75"/>
      <c r="P11" s="75"/>
      <c r="Q11" s="75"/>
      <c r="R11" s="75"/>
      <c r="S11" s="75"/>
    </row>
    <row r="12" spans="1:19" x14ac:dyDescent="0.3">
      <c r="A12" s="1" t="s">
        <v>332</v>
      </c>
      <c r="B12" s="75"/>
      <c r="C12" s="75"/>
      <c r="D12" s="75"/>
      <c r="E12" s="75"/>
      <c r="F12" s="41">
        <f>CHOOSE($B$5,Drivers!F26,Drivers!F57,Drivers!F88)</f>
        <v>0.7</v>
      </c>
      <c r="G12" s="41">
        <f>CHOOSE($B$5,Drivers!G26,Drivers!G57,Drivers!G88)</f>
        <v>0.35</v>
      </c>
      <c r="H12" s="41">
        <f>CHOOSE($B$5,Drivers!H26,Drivers!H57,Drivers!H88)</f>
        <v>0.22</v>
      </c>
      <c r="I12" s="41">
        <f>CHOOSE($B$5,Drivers!I26,Drivers!I57,Drivers!I88)</f>
        <v>0.16</v>
      </c>
      <c r="J12" s="41">
        <f>CHOOSE($B$5,Drivers!J26,Drivers!J57,Drivers!J88)</f>
        <v>0.12</v>
      </c>
      <c r="K12" s="41">
        <f>CHOOSE($B$5,Drivers!K26,Drivers!K57,Drivers!K88)</f>
        <v>0.1</v>
      </c>
      <c r="L12" s="41">
        <f>CHOOSE($B$5,Drivers!L26,Drivers!L57,Drivers!L88)</f>
        <v>0.08</v>
      </c>
      <c r="M12" s="41">
        <f>CHOOSE($B$5,Drivers!M26,Drivers!M57,Drivers!M88)</f>
        <v>7.0000000000000007E-2</v>
      </c>
      <c r="N12" s="41">
        <f>CHOOSE($B$5,Drivers!N26,Drivers!N57,Drivers!N88)</f>
        <v>0.06</v>
      </c>
      <c r="O12" s="41">
        <f>CHOOSE($B$5,Drivers!O26,Drivers!O57,Drivers!O88)</f>
        <v>0.05</v>
      </c>
      <c r="P12" s="41">
        <f>CHOOSE($B$5,Drivers!P26,Drivers!P57,Drivers!P88)</f>
        <v>4.4999999999999998E-2</v>
      </c>
      <c r="Q12" s="41">
        <f>CHOOSE($B$5,Drivers!Q26,Drivers!Q57,Drivers!Q88)</f>
        <v>0.04</v>
      </c>
      <c r="R12" s="41">
        <f>CHOOSE($B$5,Drivers!R26,Drivers!R57,Drivers!R88)</f>
        <v>3.5000000000000003E-2</v>
      </c>
      <c r="S12" s="41">
        <f>CHOOSE($B$5,Drivers!S26,Drivers!S57,Drivers!S88)</f>
        <v>0.03</v>
      </c>
    </row>
    <row r="13" spans="1:19" x14ac:dyDescent="0.3">
      <c r="A13" s="1" t="s">
        <v>333</v>
      </c>
      <c r="B13" s="75"/>
      <c r="C13" s="75"/>
      <c r="D13" s="75"/>
      <c r="E13" s="75"/>
      <c r="F13" s="41">
        <f>CHOOSE($B$5,Drivers!F27,Drivers!F58,Drivers!F89)</f>
        <v>0.6</v>
      </c>
      <c r="G13" s="41">
        <f>CHOOSE($B$5,Drivers!G27,Drivers!G58,Drivers!G89)</f>
        <v>0.3</v>
      </c>
      <c r="H13" s="41">
        <f>CHOOSE($B$5,Drivers!H27,Drivers!H58,Drivers!H89)</f>
        <v>0.2</v>
      </c>
      <c r="I13" s="41">
        <f>CHOOSE($B$5,Drivers!I27,Drivers!I58,Drivers!I89)</f>
        <v>0.15</v>
      </c>
      <c r="J13" s="41">
        <f>CHOOSE($B$5,Drivers!J27,Drivers!J58,Drivers!J89)</f>
        <v>0.11</v>
      </c>
      <c r="K13" s="41">
        <f>CHOOSE($B$5,Drivers!K27,Drivers!K58,Drivers!K89)</f>
        <v>0.09</v>
      </c>
      <c r="L13" s="41">
        <f>CHOOSE($B$5,Drivers!L27,Drivers!L58,Drivers!L89)</f>
        <v>7.4999999999999997E-2</v>
      </c>
      <c r="M13" s="41">
        <f>CHOOSE($B$5,Drivers!M27,Drivers!M58,Drivers!M89)</f>
        <v>6.5000000000000002E-2</v>
      </c>
      <c r="N13" s="41">
        <f>CHOOSE($B$5,Drivers!N27,Drivers!N58,Drivers!N89)</f>
        <v>5.5E-2</v>
      </c>
      <c r="O13" s="41">
        <f>CHOOSE($B$5,Drivers!O27,Drivers!O58,Drivers!O89)</f>
        <v>4.4999999999999998E-2</v>
      </c>
      <c r="P13" s="41">
        <f>CHOOSE($B$5,Drivers!P27,Drivers!P58,Drivers!P89)</f>
        <v>0.04</v>
      </c>
      <c r="Q13" s="41">
        <f>CHOOSE($B$5,Drivers!Q27,Drivers!Q58,Drivers!Q89)</f>
        <v>3.5000000000000003E-2</v>
      </c>
      <c r="R13" s="41">
        <f>CHOOSE($B$5,Drivers!R27,Drivers!R58,Drivers!R89)</f>
        <v>0.03</v>
      </c>
      <c r="S13" s="41">
        <f>CHOOSE($B$5,Drivers!S27,Drivers!S58,Drivers!S89)</f>
        <v>0.03</v>
      </c>
    </row>
    <row r="14" spans="1:19" x14ac:dyDescent="0.3">
      <c r="A14" s="1" t="s">
        <v>180</v>
      </c>
      <c r="B14" s="75"/>
      <c r="C14" s="75"/>
      <c r="D14" s="75"/>
      <c r="E14" s="41">
        <f>CHOOSE($B$5,Drivers!E28,Drivers!E59,Drivers!E90)</f>
        <v>0.27</v>
      </c>
      <c r="F14" s="41">
        <f>CHOOSE($B$5,Drivers!F28,Drivers!F59,Drivers!F90)</f>
        <v>0.27500000000000002</v>
      </c>
      <c r="G14" s="41">
        <f>CHOOSE($B$5,Drivers!G28,Drivers!G59,Drivers!G90)</f>
        <v>0.28000000000000003</v>
      </c>
      <c r="H14" s="41">
        <f>CHOOSE($B$5,Drivers!H28,Drivers!H59,Drivers!H90)</f>
        <v>0.28499999999999998</v>
      </c>
      <c r="I14" s="41">
        <f>CHOOSE($B$5,Drivers!I28,Drivers!I59,Drivers!I90)</f>
        <v>0.28999999999999998</v>
      </c>
      <c r="J14" s="41">
        <f>CHOOSE($B$5,Drivers!J28,Drivers!J59,Drivers!J90)</f>
        <v>0.29499999999999998</v>
      </c>
      <c r="K14" s="41">
        <f>CHOOSE($B$5,Drivers!K28,Drivers!K59,Drivers!K90)</f>
        <v>0.3</v>
      </c>
      <c r="L14" s="41">
        <f>CHOOSE($B$5,Drivers!L28,Drivers!L59,Drivers!L90)</f>
        <v>0.30499999999999999</v>
      </c>
      <c r="M14" s="41">
        <f>CHOOSE($B$5,Drivers!M28,Drivers!M59,Drivers!M90)</f>
        <v>0.31</v>
      </c>
      <c r="N14" s="41">
        <f>CHOOSE($B$5,Drivers!N28,Drivers!N59,Drivers!N90)</f>
        <v>0.315</v>
      </c>
      <c r="O14" s="41">
        <f>CHOOSE($B$5,Drivers!O28,Drivers!O59,Drivers!O90)</f>
        <v>0.32</v>
      </c>
      <c r="P14" s="41">
        <f>CHOOSE($B$5,Drivers!P28,Drivers!P59,Drivers!P90)</f>
        <v>0.32500000000000001</v>
      </c>
      <c r="Q14" s="41">
        <f>CHOOSE($B$5,Drivers!Q28,Drivers!Q59,Drivers!Q90)</f>
        <v>0.33</v>
      </c>
      <c r="R14" s="41">
        <f>CHOOSE($B$5,Drivers!R28,Drivers!R59,Drivers!R90)</f>
        <v>0.33</v>
      </c>
      <c r="S14" s="41">
        <f>CHOOSE($B$5,Drivers!S28,Drivers!S59,Drivers!S90)</f>
        <v>0.33</v>
      </c>
    </row>
    <row r="15" spans="1:19" x14ac:dyDescent="0.3">
      <c r="A15" s="1" t="s">
        <v>334</v>
      </c>
      <c r="B15" s="75"/>
      <c r="C15" s="75"/>
      <c r="D15" s="75"/>
      <c r="E15" s="41">
        <f>CHOOSE($B$5,Drivers!E29,Drivers!E60,Drivers!E91)</f>
        <v>7</v>
      </c>
      <c r="F15" s="41">
        <f>CHOOSE($B$5,Drivers!F29,Drivers!F60,Drivers!F91)</f>
        <v>0.6</v>
      </c>
      <c r="G15" s="41">
        <f>CHOOSE($B$5,Drivers!G29,Drivers!G60,Drivers!G91)</f>
        <v>0.35</v>
      </c>
      <c r="H15" s="41">
        <f>CHOOSE($B$5,Drivers!H29,Drivers!H60,Drivers!H91)</f>
        <v>0.22</v>
      </c>
      <c r="I15" s="41">
        <f>CHOOSE($B$5,Drivers!I29,Drivers!I60,Drivers!I91)</f>
        <v>0.16</v>
      </c>
      <c r="J15" s="41">
        <f>CHOOSE($B$5,Drivers!J29,Drivers!J60,Drivers!J91)</f>
        <v>0.12</v>
      </c>
      <c r="K15" s="41">
        <f>CHOOSE($B$5,Drivers!K29,Drivers!K60,Drivers!K91)</f>
        <v>0.1</v>
      </c>
      <c r="L15" s="41">
        <f>CHOOSE($B$5,Drivers!L29,Drivers!L60,Drivers!L91)</f>
        <v>0.08</v>
      </c>
      <c r="M15" s="41">
        <f>CHOOSE($B$5,Drivers!M29,Drivers!M60,Drivers!M91)</f>
        <v>0.06</v>
      </c>
      <c r="N15" s="41">
        <f>CHOOSE($B$5,Drivers!N29,Drivers!N60,Drivers!N91)</f>
        <v>0.05</v>
      </c>
      <c r="O15" s="41">
        <f>CHOOSE($B$5,Drivers!O29,Drivers!O60,Drivers!O91)</f>
        <v>0.04</v>
      </c>
      <c r="P15" s="41">
        <f>CHOOSE($B$5,Drivers!P29,Drivers!P60,Drivers!P91)</f>
        <v>3.5000000000000003E-2</v>
      </c>
      <c r="Q15" s="41">
        <f>CHOOSE($B$5,Drivers!Q29,Drivers!Q60,Drivers!Q91)</f>
        <v>0.03</v>
      </c>
      <c r="R15" s="41">
        <f>CHOOSE($B$5,Drivers!R29,Drivers!R60,Drivers!R91)</f>
        <v>0.03</v>
      </c>
      <c r="S15" s="41">
        <f>CHOOSE($B$5,Drivers!S29,Drivers!S60,Drivers!S91)</f>
        <v>2.5000000000000001E-2</v>
      </c>
    </row>
    <row r="16" spans="1:19" x14ac:dyDescent="0.3">
      <c r="A16" s="1" t="s">
        <v>335</v>
      </c>
      <c r="B16" s="75"/>
      <c r="C16" s="75"/>
      <c r="D16" s="75"/>
      <c r="E16" s="41">
        <f>CHOOSE($B$5,Drivers!E30,Drivers!E61,Drivers!E92)</f>
        <v>0.76</v>
      </c>
      <c r="F16" s="41">
        <f>CHOOSE($B$5,Drivers!F30,Drivers!F61,Drivers!F92)</f>
        <v>0.76500000000000001</v>
      </c>
      <c r="G16" s="41">
        <f>CHOOSE($B$5,Drivers!G30,Drivers!G61,Drivers!G92)</f>
        <v>0.77</v>
      </c>
      <c r="H16" s="41">
        <f>CHOOSE($B$5,Drivers!H30,Drivers!H61,Drivers!H92)</f>
        <v>0.77500000000000002</v>
      </c>
      <c r="I16" s="41">
        <f>CHOOSE($B$5,Drivers!I30,Drivers!I61,Drivers!I92)</f>
        <v>0.78</v>
      </c>
      <c r="J16" s="41">
        <f>CHOOSE($B$5,Drivers!J30,Drivers!J61,Drivers!J92)</f>
        <v>0.78500000000000003</v>
      </c>
      <c r="K16" s="41">
        <f>CHOOSE($B$5,Drivers!K30,Drivers!K61,Drivers!K92)</f>
        <v>0.79</v>
      </c>
      <c r="L16" s="41">
        <f>CHOOSE($B$5,Drivers!L30,Drivers!L61,Drivers!L92)</f>
        <v>0.79500000000000004</v>
      </c>
      <c r="M16" s="41">
        <f>CHOOSE($B$5,Drivers!M30,Drivers!M61,Drivers!M92)</f>
        <v>0.8</v>
      </c>
      <c r="N16" s="41">
        <f>CHOOSE($B$5,Drivers!N30,Drivers!N61,Drivers!N92)</f>
        <v>0.8</v>
      </c>
      <c r="O16" s="41">
        <f>CHOOSE($B$5,Drivers!O30,Drivers!O61,Drivers!O92)</f>
        <v>0.8</v>
      </c>
      <c r="P16" s="41">
        <f>CHOOSE($B$5,Drivers!P30,Drivers!P61,Drivers!P92)</f>
        <v>0.8</v>
      </c>
      <c r="Q16" s="41">
        <f>CHOOSE($B$5,Drivers!Q30,Drivers!Q61,Drivers!Q92)</f>
        <v>0.8</v>
      </c>
      <c r="R16" s="41">
        <f>CHOOSE($B$5,Drivers!R30,Drivers!R61,Drivers!R92)</f>
        <v>0.8</v>
      </c>
      <c r="S16" s="41">
        <f>CHOOSE($B$5,Drivers!S30,Drivers!S61,Drivers!S92)</f>
        <v>0.8</v>
      </c>
    </row>
    <row r="17" spans="1:19" x14ac:dyDescent="0.3">
      <c r="A17" s="1" t="s">
        <v>218</v>
      </c>
      <c r="B17" s="75"/>
      <c r="C17" s="75"/>
      <c r="D17" s="75"/>
      <c r="E17" s="41">
        <f>CHOOSE($B$5,Drivers!E31,Drivers!E62,Drivers!E93)</f>
        <v>0.32</v>
      </c>
      <c r="F17" s="41">
        <f>CHOOSE($B$5,Drivers!F31,Drivers!F62,Drivers!F93)</f>
        <v>0.315</v>
      </c>
      <c r="G17" s="41">
        <f>CHOOSE($B$5,Drivers!G31,Drivers!G62,Drivers!G93)</f>
        <v>0.31</v>
      </c>
      <c r="H17" s="41">
        <f>CHOOSE($B$5,Drivers!H31,Drivers!H62,Drivers!H93)</f>
        <v>0.29499999999999998</v>
      </c>
      <c r="I17" s="41">
        <f>CHOOSE($B$5,Drivers!I31,Drivers!I62,Drivers!I93)</f>
        <v>0.28000000000000003</v>
      </c>
      <c r="J17" s="41">
        <f>CHOOSE($B$5,Drivers!J31,Drivers!J62,Drivers!J93)</f>
        <v>0.27</v>
      </c>
      <c r="K17" s="41">
        <f>CHOOSE($B$5,Drivers!K31,Drivers!K62,Drivers!K93)</f>
        <v>0.26</v>
      </c>
      <c r="L17" s="41">
        <f>CHOOSE($B$5,Drivers!L31,Drivers!L62,Drivers!L93)</f>
        <v>0.255</v>
      </c>
      <c r="M17" s="41">
        <f>CHOOSE($B$5,Drivers!M31,Drivers!M62,Drivers!M93)</f>
        <v>0.25</v>
      </c>
      <c r="N17" s="41">
        <f>CHOOSE($B$5,Drivers!N31,Drivers!N62,Drivers!N93)</f>
        <v>0.245</v>
      </c>
      <c r="O17" s="41">
        <f>CHOOSE($B$5,Drivers!O31,Drivers!O62,Drivers!O93)</f>
        <v>0.24</v>
      </c>
      <c r="P17" s="41">
        <f>CHOOSE($B$5,Drivers!P31,Drivers!P62,Drivers!P93)</f>
        <v>0.24</v>
      </c>
      <c r="Q17" s="41">
        <f>CHOOSE($B$5,Drivers!Q31,Drivers!Q62,Drivers!Q93)</f>
        <v>0.24</v>
      </c>
      <c r="R17" s="41">
        <f>CHOOSE($B$5,Drivers!R31,Drivers!R62,Drivers!R93)</f>
        <v>0.24</v>
      </c>
      <c r="S17" s="41">
        <f>CHOOSE($B$5,Drivers!S31,Drivers!S62,Drivers!S93)</f>
        <v>0.24</v>
      </c>
    </row>
    <row r="18" spans="1:19" x14ac:dyDescent="0.3">
      <c r="A18" s="1" t="s">
        <v>219</v>
      </c>
      <c r="B18" s="75"/>
      <c r="C18" s="75"/>
      <c r="D18" s="75"/>
      <c r="E18" s="41">
        <f>CHOOSE($B$5,Drivers!E32,Drivers!E63,Drivers!E94)</f>
        <v>0.28000000000000003</v>
      </c>
      <c r="F18" s="41">
        <f>CHOOSE($B$5,Drivers!F32,Drivers!F63,Drivers!F94)</f>
        <v>0.25</v>
      </c>
      <c r="G18" s="41">
        <f>CHOOSE($B$5,Drivers!G32,Drivers!G63,Drivers!G94)</f>
        <v>0.22500000000000001</v>
      </c>
      <c r="H18" s="41">
        <f>CHOOSE($B$5,Drivers!H32,Drivers!H63,Drivers!H94)</f>
        <v>0.20499999999999999</v>
      </c>
      <c r="I18" s="41">
        <f>CHOOSE($B$5,Drivers!I32,Drivers!I63,Drivers!I94)</f>
        <v>0.19</v>
      </c>
      <c r="J18" s="41">
        <f>CHOOSE($B$5,Drivers!J32,Drivers!J63,Drivers!J94)</f>
        <v>0.18</v>
      </c>
      <c r="K18" s="41">
        <f>CHOOSE($B$5,Drivers!K32,Drivers!K63,Drivers!K94)</f>
        <v>0.17</v>
      </c>
      <c r="L18" s="41">
        <f>CHOOSE($B$5,Drivers!L32,Drivers!L63,Drivers!L94)</f>
        <v>0.16</v>
      </c>
      <c r="M18" s="41">
        <f>CHOOSE($B$5,Drivers!M32,Drivers!M63,Drivers!M94)</f>
        <v>0.155</v>
      </c>
      <c r="N18" s="41">
        <f>CHOOSE($B$5,Drivers!N32,Drivers!N63,Drivers!N94)</f>
        <v>0.15</v>
      </c>
      <c r="O18" s="41">
        <f>CHOOSE($B$5,Drivers!O32,Drivers!O63,Drivers!O94)</f>
        <v>0.14499999999999999</v>
      </c>
      <c r="P18" s="41">
        <f>CHOOSE($B$5,Drivers!P32,Drivers!P63,Drivers!P94)</f>
        <v>0.14000000000000001</v>
      </c>
      <c r="Q18" s="41">
        <f>CHOOSE($B$5,Drivers!Q32,Drivers!Q63,Drivers!Q94)</f>
        <v>0.14000000000000001</v>
      </c>
      <c r="R18" s="41">
        <f>CHOOSE($B$5,Drivers!R32,Drivers!R63,Drivers!R94)</f>
        <v>0.14000000000000001</v>
      </c>
      <c r="S18" s="41">
        <f>CHOOSE($B$5,Drivers!S32,Drivers!S63,Drivers!S94)</f>
        <v>0.14000000000000001</v>
      </c>
    </row>
    <row r="19" spans="1:19" x14ac:dyDescent="0.3">
      <c r="A19" s="1" t="s">
        <v>336</v>
      </c>
      <c r="B19" s="9"/>
      <c r="C19" s="9"/>
      <c r="D19" s="9"/>
      <c r="E19" s="77">
        <f>CHOOSE($B$5,Drivers!E33,Drivers!E64,Drivers!E95)</f>
        <v>12000</v>
      </c>
      <c r="F19" s="77">
        <f>CHOOSE($B$5,Drivers!F33,Drivers!F64,Drivers!F95)</f>
        <v>11760</v>
      </c>
      <c r="G19" s="77">
        <f>CHOOSE($B$5,Drivers!G33,Drivers!G64,Drivers!G95)</f>
        <v>11524.8</v>
      </c>
      <c r="H19" s="77">
        <f>CHOOSE($B$5,Drivers!H33,Drivers!H64,Drivers!H95)</f>
        <v>11294.3</v>
      </c>
      <c r="I19" s="77">
        <f>CHOOSE($B$5,Drivers!I33,Drivers!I64,Drivers!I95)</f>
        <v>11068.4</v>
      </c>
      <c r="J19" s="77">
        <f>CHOOSE($B$5,Drivers!J33,Drivers!J64,Drivers!J95)</f>
        <v>10847</v>
      </c>
      <c r="K19" s="77">
        <f>CHOOSE($B$5,Drivers!K33,Drivers!K64,Drivers!K95)</f>
        <v>10630.1</v>
      </c>
      <c r="L19" s="77">
        <f>CHOOSE($B$5,Drivers!L33,Drivers!L64,Drivers!L95)</f>
        <v>10417.5</v>
      </c>
      <c r="M19" s="77">
        <f>CHOOSE($B$5,Drivers!M33,Drivers!M64,Drivers!M95)</f>
        <v>10209.200000000001</v>
      </c>
      <c r="N19" s="77">
        <f>CHOOSE($B$5,Drivers!N33,Drivers!N64,Drivers!N95)</f>
        <v>10005</v>
      </c>
      <c r="O19" s="77">
        <f>CHOOSE($B$5,Drivers!O33,Drivers!O64,Drivers!O95)</f>
        <v>9804.9</v>
      </c>
      <c r="P19" s="77">
        <f>CHOOSE($B$5,Drivers!P33,Drivers!P64,Drivers!P95)</f>
        <v>9608.7999999999993</v>
      </c>
      <c r="Q19" s="77">
        <f>CHOOSE($B$5,Drivers!Q33,Drivers!Q64,Drivers!Q95)</f>
        <v>9416.6</v>
      </c>
      <c r="R19" s="77">
        <f>CHOOSE($B$5,Drivers!R33,Drivers!R64,Drivers!R95)</f>
        <v>9228.2999999999993</v>
      </c>
      <c r="S19" s="77">
        <f>CHOOSE($B$5,Drivers!S33,Drivers!S64,Drivers!S95)</f>
        <v>9043.7000000000007</v>
      </c>
    </row>
    <row r="20" spans="1:19" x14ac:dyDescent="0.3">
      <c r="A20" s="1" t="s">
        <v>337</v>
      </c>
      <c r="B20" s="22"/>
      <c r="C20" s="22"/>
      <c r="D20" s="22"/>
      <c r="E20" s="78">
        <f>CHOOSE($B$5,Drivers!E34,Drivers!E65,Drivers!E96)</f>
        <v>650</v>
      </c>
      <c r="F20" s="78">
        <f>CHOOSE($B$5,Drivers!F34,Drivers!F65,Drivers!F96)</f>
        <v>630.5</v>
      </c>
      <c r="G20" s="78">
        <f>CHOOSE($B$5,Drivers!G34,Drivers!G65,Drivers!G96)</f>
        <v>611.6</v>
      </c>
      <c r="H20" s="78">
        <f>CHOOSE($B$5,Drivers!H34,Drivers!H65,Drivers!H96)</f>
        <v>593.20000000000005</v>
      </c>
      <c r="I20" s="78">
        <f>CHOOSE($B$5,Drivers!I34,Drivers!I65,Drivers!I96)</f>
        <v>575.4</v>
      </c>
      <c r="J20" s="78">
        <f>CHOOSE($B$5,Drivers!J34,Drivers!J65,Drivers!J96)</f>
        <v>558.20000000000005</v>
      </c>
      <c r="K20" s="78">
        <f>CHOOSE($B$5,Drivers!K34,Drivers!K65,Drivers!K96)</f>
        <v>541.4</v>
      </c>
      <c r="L20" s="78">
        <f>CHOOSE($B$5,Drivers!L34,Drivers!L65,Drivers!L96)</f>
        <v>525.20000000000005</v>
      </c>
      <c r="M20" s="78">
        <f>CHOOSE($B$5,Drivers!M34,Drivers!M65,Drivers!M96)</f>
        <v>509.4</v>
      </c>
      <c r="N20" s="78">
        <f>CHOOSE($B$5,Drivers!N34,Drivers!N65,Drivers!N96)</f>
        <v>494.2</v>
      </c>
      <c r="O20" s="78">
        <f>CHOOSE($B$5,Drivers!O34,Drivers!O65,Drivers!O96)</f>
        <v>479.3</v>
      </c>
      <c r="P20" s="78">
        <f>CHOOSE($B$5,Drivers!P34,Drivers!P65,Drivers!P96)</f>
        <v>464.9</v>
      </c>
      <c r="Q20" s="78">
        <f>CHOOSE($B$5,Drivers!Q34,Drivers!Q65,Drivers!Q96)</f>
        <v>451</v>
      </c>
      <c r="R20" s="78">
        <f>CHOOSE($B$5,Drivers!R34,Drivers!R65,Drivers!R96)</f>
        <v>437.5</v>
      </c>
      <c r="S20" s="78">
        <f>CHOOSE($B$5,Drivers!S34,Drivers!S65,Drivers!S96)</f>
        <v>424.3</v>
      </c>
    </row>
    <row r="21" spans="1:19" x14ac:dyDescent="0.3">
      <c r="A21" s="1" t="s">
        <v>338</v>
      </c>
      <c r="B21" s="75"/>
      <c r="C21" s="75"/>
      <c r="D21" s="75"/>
      <c r="E21" s="41">
        <f>CHOOSE($B$5,Drivers!E35,Drivers!E66,Drivers!E97)</f>
        <v>0.05</v>
      </c>
      <c r="F21" s="41">
        <f>CHOOSE($B$5,Drivers!F35,Drivers!F66,Drivers!F97)</f>
        <v>0.1</v>
      </c>
      <c r="G21" s="41">
        <f>CHOOSE($B$5,Drivers!G35,Drivers!G66,Drivers!G97)</f>
        <v>0.15</v>
      </c>
      <c r="H21" s="41">
        <f>CHOOSE($B$5,Drivers!H35,Drivers!H66,Drivers!H97)</f>
        <v>0.2</v>
      </c>
      <c r="I21" s="41">
        <f>CHOOSE($B$5,Drivers!I35,Drivers!I66,Drivers!I97)</f>
        <v>0.25</v>
      </c>
      <c r="J21" s="41">
        <f>CHOOSE($B$5,Drivers!J35,Drivers!J66,Drivers!J97)</f>
        <v>0.25</v>
      </c>
      <c r="K21" s="41">
        <f>CHOOSE($B$5,Drivers!K35,Drivers!K66,Drivers!K97)</f>
        <v>0.25</v>
      </c>
      <c r="L21" s="41">
        <f>CHOOSE($B$5,Drivers!L35,Drivers!L66,Drivers!L97)</f>
        <v>0.25</v>
      </c>
      <c r="M21" s="41">
        <f>CHOOSE($B$5,Drivers!M35,Drivers!M66,Drivers!M97)</f>
        <v>0.25</v>
      </c>
      <c r="N21" s="41">
        <f>CHOOSE($B$5,Drivers!N35,Drivers!N66,Drivers!N97)</f>
        <v>0.25</v>
      </c>
      <c r="O21" s="41">
        <f>CHOOSE($B$5,Drivers!O35,Drivers!O66,Drivers!O97)</f>
        <v>0.25</v>
      </c>
      <c r="P21" s="41">
        <f>CHOOSE($B$5,Drivers!P35,Drivers!P66,Drivers!P97)</f>
        <v>0.25</v>
      </c>
      <c r="Q21" s="41">
        <f>CHOOSE($B$5,Drivers!Q35,Drivers!Q66,Drivers!Q97)</f>
        <v>0.25</v>
      </c>
      <c r="R21" s="41">
        <f>CHOOSE($B$5,Drivers!R35,Drivers!R66,Drivers!R97)</f>
        <v>0.25</v>
      </c>
      <c r="S21" s="41">
        <f>CHOOSE($B$5,Drivers!S35,Drivers!S66,Drivers!S97)</f>
        <v>0.25</v>
      </c>
    </row>
    <row r="22" spans="1:19" x14ac:dyDescent="0.3">
      <c r="A22" s="1" t="s">
        <v>339</v>
      </c>
      <c r="B22" s="9"/>
      <c r="C22" s="9"/>
      <c r="D22" s="9"/>
      <c r="E22" s="77">
        <f>CHOOSE($B$5,Drivers!E36,Drivers!E67,Drivers!E98)</f>
        <v>40000</v>
      </c>
      <c r="F22" s="77">
        <f>CHOOSE($B$5,Drivers!F36,Drivers!F67,Drivers!F98)</f>
        <v>38400</v>
      </c>
      <c r="G22" s="77">
        <f>CHOOSE($B$5,Drivers!G36,Drivers!G67,Drivers!G98)</f>
        <v>36864</v>
      </c>
      <c r="H22" s="77">
        <f>CHOOSE($B$5,Drivers!H36,Drivers!H67,Drivers!H98)</f>
        <v>35389.4</v>
      </c>
      <c r="I22" s="77">
        <f>CHOOSE($B$5,Drivers!I36,Drivers!I67,Drivers!I98)</f>
        <v>33973.9</v>
      </c>
      <c r="J22" s="77">
        <f>CHOOSE($B$5,Drivers!J36,Drivers!J67,Drivers!J98)</f>
        <v>32614.9</v>
      </c>
      <c r="K22" s="77">
        <f>CHOOSE($B$5,Drivers!K36,Drivers!K67,Drivers!K98)</f>
        <v>31310.3</v>
      </c>
      <c r="L22" s="77">
        <f>CHOOSE($B$5,Drivers!L36,Drivers!L67,Drivers!L98)</f>
        <v>30057.9</v>
      </c>
      <c r="M22" s="77">
        <f>CHOOSE($B$5,Drivers!M36,Drivers!M67,Drivers!M98)</f>
        <v>28855.599999999999</v>
      </c>
      <c r="N22" s="77">
        <f>CHOOSE($B$5,Drivers!N36,Drivers!N67,Drivers!N98)</f>
        <v>27701.4</v>
      </c>
      <c r="O22" s="77">
        <f>CHOOSE($B$5,Drivers!O36,Drivers!O67,Drivers!O98)</f>
        <v>26593.3</v>
      </c>
      <c r="P22" s="77">
        <f>CHOOSE($B$5,Drivers!P36,Drivers!P67,Drivers!P98)</f>
        <v>25529.599999999999</v>
      </c>
      <c r="Q22" s="77">
        <f>CHOOSE($B$5,Drivers!Q36,Drivers!Q67,Drivers!Q98)</f>
        <v>24508.400000000001</v>
      </c>
      <c r="R22" s="77">
        <f>CHOOSE($B$5,Drivers!R36,Drivers!R67,Drivers!R98)</f>
        <v>23528.1</v>
      </c>
      <c r="S22" s="77">
        <f>CHOOSE($B$5,Drivers!S36,Drivers!S67,Drivers!S98)</f>
        <v>22586.9</v>
      </c>
    </row>
    <row r="23" spans="1:19" x14ac:dyDescent="0.3">
      <c r="A23" s="1" t="s">
        <v>340</v>
      </c>
      <c r="B23" s="9"/>
      <c r="C23" s="9"/>
      <c r="D23" s="9"/>
      <c r="E23" s="77">
        <f>CHOOSE($B$5,Drivers!E37,Drivers!E68,Drivers!E99)</f>
        <v>2000</v>
      </c>
      <c r="F23" s="77">
        <f>CHOOSE($B$5,Drivers!F37,Drivers!F68,Drivers!F99)</f>
        <v>2040</v>
      </c>
      <c r="G23" s="77">
        <f>CHOOSE($B$5,Drivers!G37,Drivers!G68,Drivers!G99)</f>
        <v>2080.8000000000002</v>
      </c>
      <c r="H23" s="77">
        <f>CHOOSE($B$5,Drivers!H37,Drivers!H68,Drivers!H99)</f>
        <v>2122.4</v>
      </c>
      <c r="I23" s="77">
        <f>CHOOSE($B$5,Drivers!I37,Drivers!I68,Drivers!I99)</f>
        <v>2164.9</v>
      </c>
      <c r="J23" s="77">
        <f>CHOOSE($B$5,Drivers!J37,Drivers!J68,Drivers!J99)</f>
        <v>2208.1999999999998</v>
      </c>
      <c r="K23" s="77">
        <f>CHOOSE($B$5,Drivers!K37,Drivers!K68,Drivers!K99)</f>
        <v>2252.3000000000002</v>
      </c>
      <c r="L23" s="77">
        <f>CHOOSE($B$5,Drivers!L37,Drivers!L68,Drivers!L99)</f>
        <v>2297.4</v>
      </c>
      <c r="M23" s="77">
        <f>CHOOSE($B$5,Drivers!M37,Drivers!M68,Drivers!M99)</f>
        <v>2343.3000000000002</v>
      </c>
      <c r="N23" s="77">
        <f>CHOOSE($B$5,Drivers!N37,Drivers!N68,Drivers!N99)</f>
        <v>2390.1999999999998</v>
      </c>
      <c r="O23" s="77">
        <f>CHOOSE($B$5,Drivers!O37,Drivers!O68,Drivers!O99)</f>
        <v>2438</v>
      </c>
      <c r="P23" s="77">
        <f>CHOOSE($B$5,Drivers!P37,Drivers!P68,Drivers!P99)</f>
        <v>2486.6999999999998</v>
      </c>
      <c r="Q23" s="77">
        <f>CHOOSE($B$5,Drivers!Q37,Drivers!Q68,Drivers!Q99)</f>
        <v>2536.5</v>
      </c>
      <c r="R23" s="77">
        <f>CHOOSE($B$5,Drivers!R37,Drivers!R68,Drivers!R99)</f>
        <v>2587.1999999999998</v>
      </c>
      <c r="S23" s="77">
        <f>CHOOSE($B$5,Drivers!S37,Drivers!S68,Drivers!S99)</f>
        <v>2639</v>
      </c>
    </row>
    <row r="24" spans="1:19" x14ac:dyDescent="0.3">
      <c r="A24" s="1" t="s">
        <v>341</v>
      </c>
      <c r="B24" s="80"/>
      <c r="C24" s="80"/>
      <c r="D24" s="80"/>
      <c r="E24" s="81">
        <f>CHOOSE($B$5,Drivers!E38,Drivers!E69,Drivers!E100)</f>
        <v>5</v>
      </c>
      <c r="F24" s="80"/>
      <c r="G24" s="80"/>
      <c r="H24" s="80"/>
      <c r="I24" s="80"/>
      <c r="J24" s="80"/>
      <c r="K24" s="80"/>
      <c r="L24" s="80"/>
      <c r="M24" s="80"/>
      <c r="N24" s="80"/>
      <c r="O24" s="80"/>
      <c r="P24" s="80"/>
      <c r="Q24" s="80"/>
      <c r="R24" s="80"/>
      <c r="S24" s="80"/>
    </row>
    <row r="25" spans="1:19" x14ac:dyDescent="0.3">
      <c r="A25" s="1" t="s">
        <v>231</v>
      </c>
      <c r="B25" s="22"/>
      <c r="C25" s="22"/>
      <c r="D25" s="22"/>
      <c r="E25" s="78">
        <f>CHOOSE($B$5,Drivers!E39,Drivers!E70,Drivers!E101)</f>
        <v>6000</v>
      </c>
      <c r="F25" s="22"/>
      <c r="G25" s="22"/>
      <c r="H25" s="22"/>
      <c r="I25" s="22"/>
      <c r="J25" s="22"/>
      <c r="K25" s="22"/>
      <c r="L25" s="22"/>
      <c r="M25" s="22"/>
      <c r="N25" s="22"/>
      <c r="O25" s="22"/>
      <c r="P25" s="22"/>
      <c r="Q25" s="22"/>
      <c r="R25" s="22"/>
      <c r="S25" s="22"/>
    </row>
    <row r="26" spans="1:19" x14ac:dyDescent="0.3">
      <c r="A26" s="1" t="s">
        <v>342</v>
      </c>
      <c r="B26" s="75"/>
      <c r="C26" s="75"/>
      <c r="D26" s="75"/>
      <c r="E26" s="75"/>
      <c r="F26" s="41">
        <f>CHOOSE($B$5,Drivers!F40,Drivers!F71,Drivers!F102)</f>
        <v>0.2</v>
      </c>
      <c r="G26" s="41">
        <f>CHOOSE($B$5,Drivers!G40,Drivers!G71,Drivers!G102)</f>
        <v>0.15</v>
      </c>
      <c r="H26" s="41">
        <f>CHOOSE($B$5,Drivers!H40,Drivers!H71,Drivers!H102)</f>
        <v>0.1</v>
      </c>
      <c r="I26" s="41">
        <f>CHOOSE($B$5,Drivers!I40,Drivers!I71,Drivers!I102)</f>
        <v>0.08</v>
      </c>
      <c r="J26" s="41">
        <f>CHOOSE($B$5,Drivers!J40,Drivers!J71,Drivers!J102)</f>
        <v>0.06</v>
      </c>
      <c r="K26" s="41">
        <f>CHOOSE($B$5,Drivers!K40,Drivers!K71,Drivers!K102)</f>
        <v>0.05</v>
      </c>
      <c r="L26" s="41">
        <f>CHOOSE($B$5,Drivers!L40,Drivers!L71,Drivers!L102)</f>
        <v>0.04</v>
      </c>
      <c r="M26" s="41">
        <f>CHOOSE($B$5,Drivers!M40,Drivers!M71,Drivers!M102)</f>
        <v>3.5000000000000003E-2</v>
      </c>
      <c r="N26" s="41">
        <f>CHOOSE($B$5,Drivers!N40,Drivers!N71,Drivers!N102)</f>
        <v>0.03</v>
      </c>
      <c r="O26" s="41">
        <f>CHOOSE($B$5,Drivers!O40,Drivers!O71,Drivers!O102)</f>
        <v>0.03</v>
      </c>
      <c r="P26" s="41">
        <f>CHOOSE($B$5,Drivers!P40,Drivers!P71,Drivers!P102)</f>
        <v>2.5000000000000001E-2</v>
      </c>
      <c r="Q26" s="41">
        <f>CHOOSE($B$5,Drivers!Q40,Drivers!Q71,Drivers!Q102)</f>
        <v>2.5000000000000001E-2</v>
      </c>
      <c r="R26" s="41">
        <f>CHOOSE($B$5,Drivers!R40,Drivers!R71,Drivers!R102)</f>
        <v>0.02</v>
      </c>
      <c r="S26" s="41">
        <f>CHOOSE($B$5,Drivers!S40,Drivers!S71,Drivers!S102)</f>
        <v>0.02</v>
      </c>
    </row>
    <row r="27" spans="1:19" x14ac:dyDescent="0.3">
      <c r="A27" s="1" t="s">
        <v>343</v>
      </c>
      <c r="B27" s="69"/>
      <c r="C27" s="69"/>
      <c r="D27" s="69"/>
      <c r="E27" s="70">
        <f>CHOOSE($B$5,Drivers!E41,Drivers!E72,Drivers!E103)</f>
        <v>1.5</v>
      </c>
      <c r="F27" s="69"/>
      <c r="G27" s="69"/>
      <c r="H27" s="69"/>
      <c r="I27" s="69"/>
      <c r="J27" s="69"/>
      <c r="K27" s="69"/>
      <c r="L27" s="69"/>
      <c r="M27" s="69"/>
      <c r="N27" s="69"/>
      <c r="O27" s="69"/>
      <c r="P27" s="69"/>
      <c r="Q27" s="69"/>
      <c r="R27" s="69"/>
      <c r="S27" s="69"/>
    </row>
    <row r="28" spans="1:19" x14ac:dyDescent="0.3">
      <c r="A28" s="1" t="s">
        <v>236</v>
      </c>
      <c r="B28" s="75"/>
      <c r="C28" s="75"/>
      <c r="D28" s="75"/>
      <c r="E28" s="75"/>
      <c r="F28" s="41">
        <f>CHOOSE($B$5,Drivers!F42,Drivers!F73,Drivers!F104)</f>
        <v>0.05</v>
      </c>
      <c r="G28" s="41">
        <f>CHOOSE($B$5,Drivers!G42,Drivers!G73,Drivers!G104)</f>
        <v>0.05</v>
      </c>
      <c r="H28" s="41">
        <f>CHOOSE($B$5,Drivers!H42,Drivers!H73,Drivers!H104)</f>
        <v>0.05</v>
      </c>
      <c r="I28" s="41">
        <f>CHOOSE($B$5,Drivers!I42,Drivers!I73,Drivers!I104)</f>
        <v>0.05</v>
      </c>
      <c r="J28" s="41">
        <f>CHOOSE($B$5,Drivers!J42,Drivers!J73,Drivers!J104)</f>
        <v>0.05</v>
      </c>
      <c r="K28" s="41">
        <f>CHOOSE($B$5,Drivers!K42,Drivers!K73,Drivers!K104)</f>
        <v>0.05</v>
      </c>
      <c r="L28" s="41">
        <f>CHOOSE($B$5,Drivers!L42,Drivers!L73,Drivers!L104)</f>
        <v>0.05</v>
      </c>
      <c r="M28" s="41">
        <f>CHOOSE($B$5,Drivers!M42,Drivers!M73,Drivers!M104)</f>
        <v>0.05</v>
      </c>
      <c r="N28" s="41">
        <f>CHOOSE($B$5,Drivers!N42,Drivers!N73,Drivers!N104)</f>
        <v>0.05</v>
      </c>
      <c r="O28" s="41">
        <f>CHOOSE($B$5,Drivers!O42,Drivers!O73,Drivers!O104)</f>
        <v>0.05</v>
      </c>
      <c r="P28" s="41">
        <f>CHOOSE($B$5,Drivers!P42,Drivers!P73,Drivers!P104)</f>
        <v>0.05</v>
      </c>
      <c r="Q28" s="41">
        <f>CHOOSE($B$5,Drivers!Q42,Drivers!Q73,Drivers!Q104)</f>
        <v>0.05</v>
      </c>
      <c r="R28" s="41">
        <f>CHOOSE($B$5,Drivers!R42,Drivers!R73,Drivers!R104)</f>
        <v>0.05</v>
      </c>
      <c r="S28" s="41">
        <f>CHOOSE($B$5,Drivers!S42,Drivers!S73,Drivers!S104)</f>
        <v>0.05</v>
      </c>
    </row>
    <row r="29" spans="1:19" x14ac:dyDescent="0.3">
      <c r="A29" s="1" t="s">
        <v>344</v>
      </c>
      <c r="B29" s="75"/>
      <c r="C29" s="75"/>
      <c r="D29" s="75"/>
      <c r="E29" s="41">
        <f>CHOOSE($B$5,Drivers!E43,Drivers!E74,Drivers!E105)</f>
        <v>0.65</v>
      </c>
      <c r="F29" s="41">
        <f>CHOOSE($B$5,Drivers!F43,Drivers!F74,Drivers!F105)</f>
        <v>0.6</v>
      </c>
      <c r="G29" s="41">
        <f>CHOOSE($B$5,Drivers!G43,Drivers!G74,Drivers!G105)</f>
        <v>0.55000000000000004</v>
      </c>
      <c r="H29" s="41">
        <f>CHOOSE($B$5,Drivers!H43,Drivers!H74,Drivers!H105)</f>
        <v>0.5</v>
      </c>
      <c r="I29" s="41">
        <f>CHOOSE($B$5,Drivers!I43,Drivers!I74,Drivers!I105)</f>
        <v>0.46</v>
      </c>
      <c r="J29" s="41">
        <f>CHOOSE($B$5,Drivers!J43,Drivers!J74,Drivers!J105)</f>
        <v>0.42</v>
      </c>
      <c r="K29" s="41">
        <f>CHOOSE($B$5,Drivers!K43,Drivers!K74,Drivers!K105)</f>
        <v>0.4</v>
      </c>
      <c r="L29" s="41">
        <f>CHOOSE($B$5,Drivers!L43,Drivers!L74,Drivers!L105)</f>
        <v>0.38</v>
      </c>
      <c r="M29" s="41">
        <f>CHOOSE($B$5,Drivers!M43,Drivers!M74,Drivers!M105)</f>
        <v>0.36</v>
      </c>
      <c r="N29" s="41">
        <f>CHOOSE($B$5,Drivers!N43,Drivers!N74,Drivers!N105)</f>
        <v>0.35</v>
      </c>
      <c r="O29" s="41">
        <f>CHOOSE($B$5,Drivers!O43,Drivers!O74,Drivers!O105)</f>
        <v>0.34</v>
      </c>
      <c r="P29" s="41">
        <f>CHOOSE($B$5,Drivers!P43,Drivers!P74,Drivers!P105)</f>
        <v>0.33</v>
      </c>
      <c r="Q29" s="41">
        <f>CHOOSE($B$5,Drivers!Q43,Drivers!Q74,Drivers!Q105)</f>
        <v>0.32</v>
      </c>
      <c r="R29" s="41">
        <f>CHOOSE($B$5,Drivers!R43,Drivers!R74,Drivers!R105)</f>
        <v>0.31</v>
      </c>
      <c r="S29" s="41">
        <f>CHOOSE($B$5,Drivers!S43,Drivers!S74,Drivers!S105)</f>
        <v>0.3</v>
      </c>
    </row>
    <row r="30" spans="1:19" x14ac:dyDescent="0.3">
      <c r="A30" s="1" t="s">
        <v>183</v>
      </c>
      <c r="B30" s="75"/>
      <c r="C30" s="75"/>
      <c r="D30" s="75"/>
      <c r="E30" s="41">
        <f>CHOOSE($B$5,Drivers!E44,Drivers!E75,Drivers!E106)</f>
        <v>0.21</v>
      </c>
      <c r="F30" s="41">
        <f>CHOOSE($B$5,Drivers!F44,Drivers!F75,Drivers!F106)</f>
        <v>0.19</v>
      </c>
      <c r="G30" s="41">
        <f>CHOOSE($B$5,Drivers!G44,Drivers!G75,Drivers!G106)</f>
        <v>0.17499999999999999</v>
      </c>
      <c r="H30" s="41">
        <f>CHOOSE($B$5,Drivers!H44,Drivers!H75,Drivers!H106)</f>
        <v>0.16500000000000001</v>
      </c>
      <c r="I30" s="41">
        <f>CHOOSE($B$5,Drivers!I44,Drivers!I75,Drivers!I106)</f>
        <v>0.155</v>
      </c>
      <c r="J30" s="41">
        <f>CHOOSE($B$5,Drivers!J44,Drivers!J75,Drivers!J106)</f>
        <v>0.14499999999999999</v>
      </c>
      <c r="K30" s="41">
        <f>CHOOSE($B$5,Drivers!K44,Drivers!K75,Drivers!K106)</f>
        <v>0.14000000000000001</v>
      </c>
      <c r="L30" s="41">
        <f>CHOOSE($B$5,Drivers!L44,Drivers!L75,Drivers!L106)</f>
        <v>0.13500000000000001</v>
      </c>
      <c r="M30" s="41">
        <f>CHOOSE($B$5,Drivers!M44,Drivers!M75,Drivers!M106)</f>
        <v>0.13</v>
      </c>
      <c r="N30" s="41">
        <f>CHOOSE($B$5,Drivers!N44,Drivers!N75,Drivers!N106)</f>
        <v>0.13</v>
      </c>
      <c r="O30" s="41">
        <f>CHOOSE($B$5,Drivers!O44,Drivers!O75,Drivers!O106)</f>
        <v>0.13</v>
      </c>
      <c r="P30" s="41">
        <f>CHOOSE($B$5,Drivers!P44,Drivers!P75,Drivers!P106)</f>
        <v>0.13</v>
      </c>
      <c r="Q30" s="41">
        <f>CHOOSE($B$5,Drivers!Q44,Drivers!Q75,Drivers!Q106)</f>
        <v>0.13</v>
      </c>
      <c r="R30" s="41">
        <f>CHOOSE($B$5,Drivers!R44,Drivers!R75,Drivers!R106)</f>
        <v>0.13</v>
      </c>
      <c r="S30" s="41">
        <f>CHOOSE($B$5,Drivers!S44,Drivers!S75,Drivers!S106)</f>
        <v>0.13</v>
      </c>
    </row>
    <row r="31" spans="1:19" x14ac:dyDescent="0.3">
      <c r="A31" s="1" t="s">
        <v>184</v>
      </c>
      <c r="B31" s="75"/>
      <c r="C31" s="75"/>
      <c r="D31" s="75"/>
      <c r="E31" s="41">
        <f>CHOOSE($B$5,Drivers!E45,Drivers!E76,Drivers!E107)</f>
        <v>0.11</v>
      </c>
      <c r="F31" s="41">
        <f>CHOOSE($B$5,Drivers!F45,Drivers!F76,Drivers!F107)</f>
        <v>0.1</v>
      </c>
      <c r="G31" s="41">
        <f>CHOOSE($B$5,Drivers!G45,Drivers!G76,Drivers!G107)</f>
        <v>0.09</v>
      </c>
      <c r="H31" s="41">
        <f>CHOOSE($B$5,Drivers!H45,Drivers!H76,Drivers!H107)</f>
        <v>8.5000000000000006E-2</v>
      </c>
      <c r="I31" s="41">
        <f>CHOOSE($B$5,Drivers!I45,Drivers!I76,Drivers!I107)</f>
        <v>0.08</v>
      </c>
      <c r="J31" s="41">
        <f>CHOOSE($B$5,Drivers!J45,Drivers!J76,Drivers!J107)</f>
        <v>7.4999999999999997E-2</v>
      </c>
      <c r="K31" s="41">
        <f>CHOOSE($B$5,Drivers!K45,Drivers!K76,Drivers!K107)</f>
        <v>7.0000000000000007E-2</v>
      </c>
      <c r="L31" s="41">
        <f>CHOOSE($B$5,Drivers!L45,Drivers!L76,Drivers!L107)</f>
        <v>7.0000000000000007E-2</v>
      </c>
      <c r="M31" s="41">
        <f>CHOOSE($B$5,Drivers!M45,Drivers!M76,Drivers!M107)</f>
        <v>6.5000000000000002E-2</v>
      </c>
      <c r="N31" s="41">
        <f>CHOOSE($B$5,Drivers!N45,Drivers!N76,Drivers!N107)</f>
        <v>6.5000000000000002E-2</v>
      </c>
      <c r="O31" s="41">
        <f>CHOOSE($B$5,Drivers!O45,Drivers!O76,Drivers!O107)</f>
        <v>6.5000000000000002E-2</v>
      </c>
      <c r="P31" s="41">
        <f>CHOOSE($B$5,Drivers!P45,Drivers!P76,Drivers!P107)</f>
        <v>6.5000000000000002E-2</v>
      </c>
      <c r="Q31" s="41">
        <f>CHOOSE($B$5,Drivers!Q45,Drivers!Q76,Drivers!Q107)</f>
        <v>6.5000000000000002E-2</v>
      </c>
      <c r="R31" s="41">
        <f>CHOOSE($B$5,Drivers!R45,Drivers!R76,Drivers!R107)</f>
        <v>6.5000000000000002E-2</v>
      </c>
      <c r="S31" s="41">
        <f>CHOOSE($B$5,Drivers!S45,Drivers!S76,Drivers!S107)</f>
        <v>6.5000000000000002E-2</v>
      </c>
    </row>
    <row r="32" spans="1:19" x14ac:dyDescent="0.3">
      <c r="A32" s="1" t="s">
        <v>345</v>
      </c>
      <c r="B32" s="75"/>
      <c r="C32" s="75"/>
      <c r="D32" s="75"/>
      <c r="E32" s="41">
        <f>CHOOSE($B$5,Drivers!E46,Drivers!E77,Drivers!E108)</f>
        <v>1.2E-2</v>
      </c>
      <c r="F32" s="41">
        <f>CHOOSE($B$5,Drivers!F46,Drivers!F77,Drivers!F108)</f>
        <v>1.2E-2</v>
      </c>
      <c r="G32" s="41">
        <f>CHOOSE($B$5,Drivers!G46,Drivers!G77,Drivers!G108)</f>
        <v>1.2E-2</v>
      </c>
      <c r="H32" s="41">
        <f>CHOOSE($B$5,Drivers!H46,Drivers!H77,Drivers!H108)</f>
        <v>1.2E-2</v>
      </c>
      <c r="I32" s="41">
        <f>CHOOSE($B$5,Drivers!I46,Drivers!I77,Drivers!I108)</f>
        <v>1.2E-2</v>
      </c>
      <c r="J32" s="41">
        <f>CHOOSE($B$5,Drivers!J46,Drivers!J77,Drivers!J108)</f>
        <v>1.2E-2</v>
      </c>
      <c r="K32" s="41">
        <f>CHOOSE($B$5,Drivers!K46,Drivers!K77,Drivers!K108)</f>
        <v>1.2E-2</v>
      </c>
      <c r="L32" s="41">
        <f>CHOOSE($B$5,Drivers!L46,Drivers!L77,Drivers!L108)</f>
        <v>1.2E-2</v>
      </c>
      <c r="M32" s="41">
        <f>CHOOSE($B$5,Drivers!M46,Drivers!M77,Drivers!M108)</f>
        <v>1.2E-2</v>
      </c>
      <c r="N32" s="41">
        <f>CHOOSE($B$5,Drivers!N46,Drivers!N77,Drivers!N108)</f>
        <v>1.2E-2</v>
      </c>
      <c r="O32" s="41">
        <f>CHOOSE($B$5,Drivers!O46,Drivers!O77,Drivers!O108)</f>
        <v>1.2E-2</v>
      </c>
      <c r="P32" s="41">
        <f>CHOOSE($B$5,Drivers!P46,Drivers!P77,Drivers!P108)</f>
        <v>1.2E-2</v>
      </c>
      <c r="Q32" s="41">
        <f>CHOOSE($B$5,Drivers!Q46,Drivers!Q77,Drivers!Q108)</f>
        <v>1.2E-2</v>
      </c>
      <c r="R32" s="41">
        <f>CHOOSE($B$5,Drivers!R46,Drivers!R77,Drivers!R108)</f>
        <v>1.2E-2</v>
      </c>
      <c r="S32" s="41">
        <f>CHOOSE($B$5,Drivers!S46,Drivers!S77,Drivers!S108)</f>
        <v>1.2E-2</v>
      </c>
    </row>
    <row r="33" spans="1:26" x14ac:dyDescent="0.3">
      <c r="A33" s="1" t="s">
        <v>240</v>
      </c>
      <c r="B33" s="75"/>
      <c r="C33" s="75"/>
      <c r="D33" s="75"/>
      <c r="E33" s="41">
        <f>CHOOSE($B$5,Drivers!E47,Drivers!E78,Drivers!E109)</f>
        <v>5.0000000000000001E-3</v>
      </c>
      <c r="F33" s="41">
        <f>CHOOSE($B$5,Drivers!F47,Drivers!F78,Drivers!F109)</f>
        <v>5.0000000000000001E-3</v>
      </c>
      <c r="G33" s="41">
        <f>CHOOSE($B$5,Drivers!G47,Drivers!G78,Drivers!G109)</f>
        <v>5.0000000000000001E-3</v>
      </c>
      <c r="H33" s="41">
        <f>CHOOSE($B$5,Drivers!H47,Drivers!H78,Drivers!H109)</f>
        <v>5.0000000000000001E-3</v>
      </c>
      <c r="I33" s="41">
        <f>CHOOSE($B$5,Drivers!I47,Drivers!I78,Drivers!I109)</f>
        <v>5.0000000000000001E-3</v>
      </c>
      <c r="J33" s="41">
        <f>CHOOSE($B$5,Drivers!J47,Drivers!J78,Drivers!J109)</f>
        <v>5.0000000000000001E-3</v>
      </c>
      <c r="K33" s="41">
        <f>CHOOSE($B$5,Drivers!K47,Drivers!K78,Drivers!K109)</f>
        <v>5.0000000000000001E-3</v>
      </c>
      <c r="L33" s="41">
        <f>CHOOSE($B$5,Drivers!L47,Drivers!L78,Drivers!L109)</f>
        <v>5.0000000000000001E-3</v>
      </c>
      <c r="M33" s="41">
        <f>CHOOSE($B$5,Drivers!M47,Drivers!M78,Drivers!M109)</f>
        <v>5.0000000000000001E-3</v>
      </c>
      <c r="N33" s="41">
        <f>CHOOSE($B$5,Drivers!N47,Drivers!N78,Drivers!N109)</f>
        <v>5.0000000000000001E-3</v>
      </c>
      <c r="O33" s="41">
        <f>CHOOSE($B$5,Drivers!O47,Drivers!O78,Drivers!O109)</f>
        <v>5.0000000000000001E-3</v>
      </c>
      <c r="P33" s="41">
        <f>CHOOSE($B$5,Drivers!P47,Drivers!P78,Drivers!P109)</f>
        <v>5.0000000000000001E-3</v>
      </c>
      <c r="Q33" s="41">
        <f>CHOOSE($B$5,Drivers!Q47,Drivers!Q78,Drivers!Q109)</f>
        <v>5.0000000000000001E-3</v>
      </c>
      <c r="R33" s="41">
        <f>CHOOSE($B$5,Drivers!R47,Drivers!R78,Drivers!R109)</f>
        <v>5.0000000000000001E-3</v>
      </c>
      <c r="S33" s="41">
        <f>CHOOSE($B$5,Drivers!S47,Drivers!S78,Drivers!S109)</f>
        <v>5.0000000000000001E-3</v>
      </c>
    </row>
    <row r="34" spans="1:26" x14ac:dyDescent="0.3">
      <c r="A34" s="1" t="s">
        <v>346</v>
      </c>
      <c r="B34" s="75"/>
      <c r="C34" s="75"/>
      <c r="D34" s="75"/>
      <c r="E34" s="41">
        <f>CHOOSE($B$5,Drivers!E48,Drivers!E79,Drivers!E110)</f>
        <v>0.05</v>
      </c>
      <c r="F34" s="41">
        <f>CHOOSE($B$5,Drivers!F48,Drivers!F79,Drivers!F110)</f>
        <v>0.05</v>
      </c>
      <c r="G34" s="41">
        <f>CHOOSE($B$5,Drivers!G48,Drivers!G79,Drivers!G110)</f>
        <v>0.05</v>
      </c>
      <c r="H34" s="41">
        <f>CHOOSE($B$5,Drivers!H48,Drivers!H79,Drivers!H110)</f>
        <v>0.05</v>
      </c>
      <c r="I34" s="41">
        <f>CHOOSE($B$5,Drivers!I48,Drivers!I79,Drivers!I110)</f>
        <v>0.05</v>
      </c>
      <c r="J34" s="41">
        <f>CHOOSE($B$5,Drivers!J48,Drivers!J79,Drivers!J110)</f>
        <v>0.05</v>
      </c>
      <c r="K34" s="41">
        <f>CHOOSE($B$5,Drivers!K48,Drivers!K79,Drivers!K110)</f>
        <v>0.05</v>
      </c>
      <c r="L34" s="41">
        <f>CHOOSE($B$5,Drivers!L48,Drivers!L79,Drivers!L110)</f>
        <v>0.05</v>
      </c>
      <c r="M34" s="41">
        <f>CHOOSE($B$5,Drivers!M48,Drivers!M79,Drivers!M110)</f>
        <v>0.05</v>
      </c>
      <c r="N34" s="41">
        <f>CHOOSE($B$5,Drivers!N48,Drivers!N79,Drivers!N110)</f>
        <v>0.05</v>
      </c>
      <c r="O34" s="41">
        <f>CHOOSE($B$5,Drivers!O48,Drivers!O79,Drivers!O110)</f>
        <v>0.05</v>
      </c>
      <c r="P34" s="41">
        <f>CHOOSE($B$5,Drivers!P48,Drivers!P79,Drivers!P110)</f>
        <v>0.05</v>
      </c>
      <c r="Q34" s="41">
        <f>CHOOSE($B$5,Drivers!Q48,Drivers!Q79,Drivers!Q110)</f>
        <v>0.05</v>
      </c>
      <c r="R34" s="41">
        <f>CHOOSE($B$5,Drivers!R48,Drivers!R79,Drivers!R110)</f>
        <v>0.05</v>
      </c>
      <c r="S34" s="41">
        <f>CHOOSE($B$5,Drivers!S48,Drivers!S79,Drivers!S110)</f>
        <v>0.05</v>
      </c>
    </row>
    <row r="35" spans="1:26" x14ac:dyDescent="0.3">
      <c r="A35" s="1" t="s">
        <v>347</v>
      </c>
      <c r="B35" s="75"/>
      <c r="C35" s="75"/>
      <c r="D35" s="75"/>
      <c r="E35" s="41">
        <f>CHOOSE($B$5,Drivers!E49,Drivers!E80,Drivers!E111)</f>
        <v>2.5000000000000001E-2</v>
      </c>
      <c r="F35" s="75"/>
      <c r="G35" s="75"/>
      <c r="H35" s="75"/>
      <c r="I35" s="75"/>
      <c r="J35" s="75"/>
      <c r="K35" s="75"/>
      <c r="L35" s="75"/>
      <c r="M35" s="75"/>
      <c r="N35" s="75"/>
      <c r="O35" s="75"/>
      <c r="P35" s="75"/>
      <c r="Q35" s="75"/>
      <c r="R35" s="75"/>
      <c r="S35" s="75"/>
    </row>
    <row r="36" spans="1:26" x14ac:dyDescent="0.3">
      <c r="A36" s="1" t="s">
        <v>348</v>
      </c>
      <c r="B36" s="83"/>
      <c r="C36" s="83"/>
      <c r="D36" s="83"/>
      <c r="E36" s="62">
        <f>CHOOSE($B$5,Drivers!E50,Drivers!E81,Drivers!E112)</f>
        <v>11</v>
      </c>
      <c r="F36" s="83"/>
      <c r="G36" s="83"/>
      <c r="H36" s="83"/>
      <c r="I36" s="83"/>
      <c r="J36" s="83"/>
      <c r="K36" s="83"/>
      <c r="L36" s="83"/>
      <c r="M36" s="83"/>
      <c r="N36" s="83"/>
      <c r="O36" s="83"/>
      <c r="P36" s="83"/>
      <c r="Q36" s="83"/>
      <c r="R36" s="83"/>
      <c r="S36" s="83"/>
    </row>
    <row r="37" spans="1:26" x14ac:dyDescent="0.3">
      <c r="A37" s="1" t="s">
        <v>247</v>
      </c>
      <c r="B37" s="33"/>
      <c r="C37" s="33"/>
      <c r="D37" s="33"/>
      <c r="E37" s="63">
        <f>CHOOSE($B$5,Drivers!E51,Drivers!E82,Drivers!E113)</f>
        <v>0.25</v>
      </c>
      <c r="F37" s="33"/>
      <c r="G37" s="33"/>
      <c r="H37" s="33"/>
      <c r="I37" s="33"/>
      <c r="J37" s="33"/>
      <c r="K37" s="33"/>
      <c r="L37" s="33"/>
      <c r="M37" s="33"/>
      <c r="N37" s="33"/>
      <c r="O37" s="33"/>
      <c r="P37" s="33"/>
      <c r="Q37" s="33"/>
      <c r="R37" s="33"/>
      <c r="S37" s="33"/>
    </row>
    <row r="38" spans="1:26" x14ac:dyDescent="0.3">
      <c r="A38" s="1" t="s">
        <v>349</v>
      </c>
      <c r="B38" s="49"/>
      <c r="C38" s="49"/>
      <c r="D38" s="49"/>
      <c r="E38" s="84">
        <f>CHOOSE($B$5,WACC!B27,WACC!B28,WACC!B29)</f>
        <v>0.13367493162419763</v>
      </c>
      <c r="F38" s="49"/>
      <c r="G38" s="49"/>
      <c r="H38" s="49"/>
      <c r="I38" s="49"/>
      <c r="J38" s="49"/>
      <c r="K38" s="49"/>
      <c r="L38" s="49"/>
      <c r="M38" s="49"/>
      <c r="N38" s="49"/>
      <c r="O38" s="49"/>
      <c r="P38" s="49"/>
      <c r="Q38" s="49"/>
      <c r="R38" s="49"/>
      <c r="S38" s="49"/>
    </row>
    <row r="39" spans="1:26" x14ac:dyDescent="0.3">
      <c r="A39" s="1" t="s">
        <v>502</v>
      </c>
      <c r="B39"/>
      <c r="C39"/>
      <c r="D39"/>
      <c r="E39" s="111">
        <f>CHOOSE($B$5,WACC!F27,WACC!F28,WACC!F29)</f>
        <v>0.1001529411764706</v>
      </c>
      <c r="F39"/>
      <c r="G39"/>
      <c r="H39"/>
      <c r="I39"/>
      <c r="J39"/>
      <c r="K39"/>
      <c r="L39"/>
      <c r="M39"/>
      <c r="N39"/>
      <c r="O39"/>
      <c r="P39"/>
      <c r="Q39"/>
      <c r="R39"/>
      <c r="S39"/>
      <c r="T39"/>
      <c r="U39"/>
      <c r="V39"/>
      <c r="W39"/>
      <c r="X39"/>
      <c r="Y39"/>
      <c r="Z39"/>
    </row>
    <row r="40" spans="1:26" x14ac:dyDescent="0.3">
      <c r="A40" s="1" t="s">
        <v>350</v>
      </c>
      <c r="B40" s="56"/>
      <c r="C40" s="56"/>
      <c r="D40" s="56"/>
      <c r="E40" s="61">
        <f>WACC!B9</f>
        <v>0.23</v>
      </c>
      <c r="F40" s="56"/>
      <c r="G40" s="56"/>
      <c r="H40" s="56"/>
      <c r="I40" s="56"/>
      <c r="J40" s="56"/>
      <c r="K40" s="56"/>
      <c r="L40" s="56"/>
      <c r="M40" s="56"/>
      <c r="N40" s="56"/>
      <c r="O40" s="56"/>
      <c r="P40" s="56"/>
      <c r="Q40" s="56"/>
      <c r="R40" s="56"/>
      <c r="S40" s="56"/>
    </row>
    <row r="41" spans="1:26" ht="3" customHeight="1" x14ac:dyDescent="0.3"/>
    <row r="42" spans="1:26" x14ac:dyDescent="0.3">
      <c r="A42" s="5" t="s">
        <v>351</v>
      </c>
      <c r="B42" s="5"/>
      <c r="C42" s="5"/>
      <c r="D42" s="5"/>
      <c r="E42" s="5"/>
      <c r="F42" s="5"/>
      <c r="G42" s="5"/>
      <c r="H42" s="5"/>
      <c r="I42" s="5"/>
      <c r="J42" s="5"/>
      <c r="K42" s="5"/>
      <c r="L42" s="5"/>
      <c r="M42" s="5"/>
      <c r="N42" s="5"/>
      <c r="O42" s="5"/>
      <c r="P42" s="5"/>
      <c r="Q42" s="5"/>
      <c r="R42" s="5"/>
      <c r="S42" s="5"/>
    </row>
    <row r="43" spans="1:26" x14ac:dyDescent="0.3">
      <c r="A43" s="1" t="s">
        <v>352</v>
      </c>
      <c r="B43" s="9"/>
      <c r="C43" s="9"/>
      <c r="D43" s="9"/>
      <c r="E43" s="77">
        <f>INDEX(Historicals!$B$7:$K$7,MATCH(Actuals!$B$5,Historicals!$B$6:$K$6,0))</f>
        <v>16286</v>
      </c>
      <c r="F43" s="9"/>
      <c r="G43" s="9"/>
      <c r="H43" s="9"/>
      <c r="I43" s="9"/>
      <c r="J43" s="9"/>
      <c r="K43" s="9"/>
      <c r="L43" s="9"/>
      <c r="M43" s="9"/>
      <c r="N43" s="9"/>
      <c r="O43" s="9"/>
      <c r="P43" s="9"/>
      <c r="Q43" s="9"/>
      <c r="R43" s="9"/>
      <c r="S43" s="9"/>
    </row>
    <row r="44" spans="1:26" x14ac:dyDescent="0.3">
      <c r="A44" s="1" t="s">
        <v>353</v>
      </c>
      <c r="B44" s="9"/>
      <c r="C44" s="9"/>
      <c r="D44" s="9"/>
      <c r="E44" s="77">
        <f>INDEX(Historicals!$B$9:$K$9,MATCH(Actuals!$B$5,Historicals!$B$6:$K$6,0))</f>
        <v>8945</v>
      </c>
      <c r="F44" s="9"/>
      <c r="G44" s="9"/>
      <c r="H44" s="9"/>
      <c r="I44" s="9"/>
      <c r="J44" s="9"/>
      <c r="K44" s="9"/>
      <c r="L44" s="9"/>
      <c r="M44" s="9"/>
      <c r="N44" s="9"/>
      <c r="O44" s="9"/>
      <c r="P44" s="9"/>
      <c r="Q44" s="9"/>
      <c r="R44" s="9"/>
      <c r="S44" s="9"/>
    </row>
    <row r="45" spans="1:26" x14ac:dyDescent="0.3">
      <c r="A45" s="1" t="s">
        <v>354</v>
      </c>
      <c r="B45" s="9"/>
      <c r="C45" s="9"/>
      <c r="D45" s="9"/>
      <c r="E45" s="77">
        <f>INDEX(Historicals!$B$10:$K$10,MATCH(Actuals!$B$5,Historicals!$B$6:$K$6,0))</f>
        <v>3152</v>
      </c>
      <c r="F45" s="9"/>
      <c r="G45" s="9"/>
      <c r="H45" s="9"/>
      <c r="I45" s="9"/>
      <c r="J45" s="9"/>
      <c r="K45" s="9"/>
      <c r="L45" s="9"/>
      <c r="M45" s="9"/>
      <c r="N45" s="9"/>
      <c r="O45" s="9"/>
      <c r="P45" s="9"/>
      <c r="Q45" s="9"/>
      <c r="R45" s="9"/>
      <c r="S45" s="9"/>
    </row>
    <row r="46" spans="1:26" x14ac:dyDescent="0.3">
      <c r="A46" s="1" t="s">
        <v>355</v>
      </c>
      <c r="B46" s="9"/>
      <c r="C46" s="9"/>
      <c r="D46" s="9"/>
      <c r="E46" s="77">
        <f>INDEX(Historicals!$B$12:$K$12,MATCH(Actuals!$B$5,Historicals!$B$6:$K$6,0))</f>
        <v>3168</v>
      </c>
      <c r="F46" s="9"/>
      <c r="G46" s="9"/>
      <c r="H46" s="9"/>
      <c r="I46" s="9"/>
      <c r="J46" s="9"/>
      <c r="K46" s="9"/>
      <c r="L46" s="9"/>
      <c r="M46" s="9"/>
      <c r="N46" s="9"/>
      <c r="O46" s="9"/>
      <c r="P46" s="9"/>
      <c r="Q46" s="9"/>
      <c r="R46" s="9"/>
      <c r="S46" s="9"/>
    </row>
    <row r="47" spans="1:26" x14ac:dyDescent="0.3">
      <c r="A47" s="1" t="s">
        <v>356</v>
      </c>
      <c r="B47" s="9"/>
      <c r="C47" s="9"/>
      <c r="D47" s="9"/>
      <c r="E47" s="77">
        <f>INDEX(Historicals!$B$13:$K$13,MATCH(Actuals!$B$5,Historicals!$B$6:$K$6,0))</f>
        <v>1714</v>
      </c>
      <c r="F47" s="9"/>
      <c r="G47" s="9"/>
      <c r="H47" s="9"/>
      <c r="I47" s="9"/>
      <c r="J47" s="9"/>
      <c r="K47" s="9"/>
      <c r="L47" s="9"/>
      <c r="M47" s="9"/>
      <c r="N47" s="9"/>
      <c r="O47" s="9"/>
      <c r="P47" s="9"/>
      <c r="Q47" s="9"/>
      <c r="R47" s="9"/>
      <c r="S47" s="9"/>
    </row>
    <row r="48" spans="1:26" x14ac:dyDescent="0.3">
      <c r="A48" s="1" t="s">
        <v>357</v>
      </c>
      <c r="B48" s="9"/>
      <c r="C48" s="9"/>
      <c r="D48" s="9"/>
      <c r="E48" s="77">
        <f>INDEX(Historicals!$B$25:$K$25,MATCH(Actuals!$B$5,Historicals!$B$6:$K$6,0))</f>
        <v>2185</v>
      </c>
      <c r="F48" s="9"/>
      <c r="G48" s="9"/>
      <c r="H48" s="9"/>
      <c r="I48" s="9"/>
      <c r="J48" s="9"/>
      <c r="K48" s="9"/>
      <c r="L48" s="9"/>
      <c r="M48" s="9"/>
      <c r="N48" s="9"/>
      <c r="O48" s="9"/>
      <c r="P48" s="9"/>
      <c r="Q48" s="9"/>
      <c r="R48" s="9"/>
      <c r="S48" s="9"/>
    </row>
    <row r="49" spans="1:19" x14ac:dyDescent="0.3">
      <c r="A49" s="1" t="s">
        <v>358</v>
      </c>
      <c r="B49" s="9"/>
      <c r="C49" s="9"/>
      <c r="D49" s="9"/>
      <c r="E49" s="77">
        <f>INDEX(Historicals!$B$26:$K$26,MATCH(Actuals!$B$5,Historicals!$B$6:$K$6,0))</f>
        <v>97</v>
      </c>
      <c r="F49" s="9"/>
      <c r="G49" s="9"/>
      <c r="H49" s="9"/>
      <c r="I49" s="9"/>
      <c r="J49" s="9"/>
      <c r="K49" s="9"/>
      <c r="L49" s="9"/>
      <c r="M49" s="9"/>
      <c r="N49" s="9"/>
      <c r="O49" s="9"/>
      <c r="P49" s="9"/>
      <c r="Q49" s="9"/>
      <c r="R49" s="9"/>
      <c r="S49" s="9"/>
    </row>
    <row r="50" spans="1:19" x14ac:dyDescent="0.3">
      <c r="A50" s="1" t="s">
        <v>359</v>
      </c>
      <c r="B50" s="51"/>
      <c r="C50" s="51"/>
      <c r="D50" s="51"/>
      <c r="E50" s="52">
        <f>Actuals!$B$6/12</f>
        <v>0.5</v>
      </c>
      <c r="F50" s="51"/>
      <c r="G50" s="51"/>
      <c r="H50" s="51"/>
      <c r="I50" s="51"/>
      <c r="J50" s="51"/>
      <c r="K50" s="51"/>
      <c r="L50" s="51"/>
      <c r="M50" s="51"/>
      <c r="N50" s="51"/>
      <c r="O50" s="51"/>
      <c r="P50" s="51"/>
      <c r="Q50" s="51"/>
      <c r="R50" s="51"/>
      <c r="S50" s="51"/>
    </row>
    <row r="51" spans="1:19" x14ac:dyDescent="0.3">
      <c r="A51" s="1" t="s">
        <v>360</v>
      </c>
      <c r="B51" s="9"/>
      <c r="C51" s="9"/>
      <c r="D51" s="9"/>
      <c r="E51" s="30">
        <f>E65-E43</f>
        <v>35306.480000000003</v>
      </c>
      <c r="F51" s="9"/>
      <c r="G51" s="9"/>
      <c r="H51" s="9"/>
      <c r="I51" s="9"/>
      <c r="J51" s="9"/>
      <c r="K51" s="9"/>
      <c r="L51" s="9"/>
      <c r="M51" s="9"/>
      <c r="N51" s="9"/>
      <c r="O51" s="9"/>
      <c r="P51" s="9"/>
      <c r="Q51" s="9"/>
      <c r="R51" s="9"/>
      <c r="S51" s="9"/>
    </row>
    <row r="52" spans="1:19" x14ac:dyDescent="0.3">
      <c r="A52" s="1" t="s">
        <v>715</v>
      </c>
      <c r="B52" s="9"/>
      <c r="C52" s="9"/>
      <c r="D52" s="9"/>
      <c r="E52" s="77">
        <f>INDEX(Historicals!$B$128:$K$128,MATCH(Actuals!$B$5,Historicals!$B$113:$K$113,0))+INDEX(Historicals!$B$130:$K$130,MATCH(Actuals!$B$5,Historicals!$B$113:$K$113,0))-INDEX(Historicals!$B$16:$K$16,MATCH(Actuals!$B$5,Historicals!$B$6:$K$6,0))*(1-$E$40)</f>
        <v>2591.5299999999997</v>
      </c>
      <c r="F52" s="9"/>
      <c r="G52" s="9"/>
      <c r="H52" s="9"/>
      <c r="I52" s="9"/>
      <c r="J52" s="9"/>
      <c r="K52" s="9"/>
      <c r="L52" s="9"/>
      <c r="M52" s="9"/>
      <c r="N52" s="9"/>
      <c r="O52" s="9"/>
      <c r="P52" s="9"/>
      <c r="Q52" s="9"/>
      <c r="R52" s="9"/>
      <c r="S52" s="9"/>
    </row>
    <row r="53" spans="1:19" ht="3" customHeight="1" x14ac:dyDescent="0.3"/>
    <row r="54" spans="1:19" x14ac:dyDescent="0.3">
      <c r="A54" s="5" t="s">
        <v>361</v>
      </c>
      <c r="B54" s="5"/>
      <c r="C54" s="5"/>
      <c r="D54" s="5"/>
      <c r="E54" s="5"/>
      <c r="F54" s="5"/>
      <c r="G54" s="5"/>
      <c r="H54" s="5"/>
      <c r="I54" s="5"/>
      <c r="J54" s="5"/>
      <c r="K54" s="5"/>
      <c r="L54" s="5"/>
      <c r="M54" s="5"/>
      <c r="N54" s="5"/>
      <c r="O54" s="5"/>
      <c r="P54" s="5"/>
      <c r="Q54" s="5"/>
      <c r="R54" s="5"/>
      <c r="S54" s="5"/>
    </row>
    <row r="55" spans="1:19" x14ac:dyDescent="0.3">
      <c r="A55" s="6" t="s">
        <v>362</v>
      </c>
      <c r="B55" s="7" t="s">
        <v>363</v>
      </c>
      <c r="C55" s="7" t="s">
        <v>364</v>
      </c>
      <c r="D55" s="7" t="s">
        <v>365</v>
      </c>
      <c r="E55" s="7" t="s">
        <v>366</v>
      </c>
      <c r="F55" s="7" t="s">
        <v>192</v>
      </c>
    </row>
    <row r="56" spans="1:19" x14ac:dyDescent="0.3">
      <c r="A56" s="1" t="s">
        <v>367</v>
      </c>
      <c r="B56" s="77">
        <f>IFERROR(IF(INDEX(Historicals!$B$33:$M$33,MATCH(B$55&amp;"A",Historicals!$B$32:$M$32,0))="","",INDEX(Historicals!$B$33:$M$33,MATCH(B$55&amp;"A",Historicals!$B$32:$M$32,0))),"")</f>
        <v>4731</v>
      </c>
      <c r="C56" s="77">
        <f>IFERROR(IF(INDEX(Historicals!$B$33:$M$33,MATCH(C$55&amp;"A",Historicals!$B$32:$M$32,0))="","",INDEX(Historicals!$B$33:$M$33,MATCH(C$55&amp;"A",Historicals!$B$32:$M$32,0))),"")</f>
        <v>11555</v>
      </c>
      <c r="D56" s="77" t="str">
        <f>IFERROR(IF(INDEX(Historicals!$B$33:$M$33,MATCH(D$55&amp;"A",Historicals!$B$32:$M$32,0))="","",INDEX(Historicals!$B$33:$M$33,MATCH(D$55&amp;"A",Historicals!$B$32:$M$32,0))),"")</f>
        <v/>
      </c>
      <c r="E56" s="77" t="str">
        <f>IFERROR(IF(INDEX(Historicals!$B$33:$M$33,MATCH(E$55&amp;"A",Historicals!$B$32:$M$32,0))="","",INDEX(Historicals!$B$33:$M$33,MATCH(E$55&amp;"A",Historicals!$B$32:$M$32,0))),"")</f>
        <v/>
      </c>
      <c r="F56" s="9"/>
      <c r="G56" s="9"/>
      <c r="H56" s="9"/>
      <c r="I56" s="9"/>
      <c r="J56" s="9"/>
      <c r="K56" s="9"/>
      <c r="L56" s="9"/>
      <c r="M56" s="9"/>
      <c r="N56" s="9"/>
      <c r="O56" s="9"/>
      <c r="P56" s="9"/>
      <c r="Q56" s="9"/>
      <c r="R56" s="9"/>
      <c r="S56" s="9"/>
    </row>
    <row r="57" spans="1:19" x14ac:dyDescent="0.3">
      <c r="A57" s="1" t="s">
        <v>368</v>
      </c>
      <c r="B57" s="41">
        <f>IF(B56&lt;&gt;"",B56/Historicals!$E$33-1,0)</f>
        <v>1.3191176470588237</v>
      </c>
      <c r="C57" s="31">
        <f>IF(C56&lt;&gt;"",C56/B58-1,0)</f>
        <v>1.4424011836820969</v>
      </c>
      <c r="D57" s="31">
        <f>IF(D56&lt;&gt;"",D56/C58-1,$E$9)</f>
        <v>0.44128083080917357</v>
      </c>
      <c r="E57" s="31">
        <f>IF(E56&lt;&gt;"",E56/D58-1,$E$10)</f>
        <v>0.12</v>
      </c>
      <c r="F57" s="75"/>
      <c r="G57" s="75"/>
      <c r="H57" s="75"/>
      <c r="I57" s="75"/>
      <c r="J57" s="75"/>
      <c r="K57" s="75"/>
      <c r="L57" s="75"/>
      <c r="M57" s="75"/>
      <c r="N57" s="75"/>
      <c r="O57" s="75"/>
      <c r="P57" s="75"/>
      <c r="Q57" s="75"/>
      <c r="R57" s="75"/>
      <c r="S57" s="75"/>
    </row>
    <row r="58" spans="1:19" x14ac:dyDescent="0.3">
      <c r="A58" s="10" t="s">
        <v>369</v>
      </c>
      <c r="B58" s="87">
        <f>IF(B56&lt;&gt;"",B56,Historicals!$E$33*(1+B57))</f>
        <v>4731</v>
      </c>
      <c r="C58" s="34">
        <f>IF(C56&lt;&gt;"",C56,B58*(1+C57))</f>
        <v>11555</v>
      </c>
      <c r="D58" s="34">
        <f>IF(D56&lt;&gt;"",D56,C58*(1+D57))</f>
        <v>16654</v>
      </c>
      <c r="E58" s="34">
        <f>IF(E56&lt;&gt;"",E56,D58*(1+E57))</f>
        <v>18652.480000000003</v>
      </c>
      <c r="F58" s="34">
        <f>SUM(B58:E58)</f>
        <v>51592.480000000003</v>
      </c>
      <c r="G58" s="12"/>
      <c r="H58" s="12"/>
      <c r="I58" s="12"/>
      <c r="J58" s="12"/>
      <c r="K58" s="12"/>
      <c r="L58" s="12"/>
      <c r="M58" s="12"/>
      <c r="N58" s="12"/>
      <c r="O58" s="12"/>
      <c r="P58" s="12"/>
      <c r="Q58" s="12"/>
      <c r="R58" s="12"/>
      <c r="S58" s="12"/>
    </row>
    <row r="59" spans="1:19" x14ac:dyDescent="0.3">
      <c r="A59" s="1" t="s">
        <v>370</v>
      </c>
      <c r="B59" s="85" t="str">
        <f>IF(B56&lt;&gt;"","Actual","Estimate")</f>
        <v>Actual</v>
      </c>
      <c r="C59" s="85" t="str">
        <f>IF(C56&lt;&gt;"","Actual","Estimate")</f>
        <v>Actual</v>
      </c>
      <c r="D59" s="85" t="str">
        <f>IF(D56&lt;&gt;"","Actual","Estimate")</f>
        <v>Estimate</v>
      </c>
      <c r="E59" s="85" t="str">
        <f>IF(E56&lt;&gt;"","Actual","Estimate")</f>
        <v>Estimate</v>
      </c>
      <c r="F59" s="86"/>
      <c r="G59" s="86"/>
      <c r="H59" s="86"/>
      <c r="I59" s="86"/>
      <c r="J59" s="86"/>
      <c r="K59" s="86"/>
      <c r="L59" s="86"/>
      <c r="M59" s="86"/>
      <c r="N59" s="86"/>
      <c r="O59" s="86"/>
      <c r="P59" s="86"/>
      <c r="Q59" s="86"/>
      <c r="R59" s="86"/>
      <c r="S59" s="86"/>
    </row>
    <row r="60" spans="1:19" x14ac:dyDescent="0.3">
      <c r="A60" s="1" t="s">
        <v>371</v>
      </c>
      <c r="B60" s="30">
        <f>B58*4</f>
        <v>18924</v>
      </c>
      <c r="C60" s="30">
        <f>C58*4</f>
        <v>46220</v>
      </c>
      <c r="D60" s="30">
        <f>D58*4</f>
        <v>66616</v>
      </c>
      <c r="E60" s="30">
        <f>E58*4</f>
        <v>74609.920000000013</v>
      </c>
      <c r="F60" s="9"/>
      <c r="G60" s="9"/>
      <c r="H60" s="9"/>
      <c r="I60" s="9"/>
      <c r="J60" s="9"/>
      <c r="K60" s="9"/>
      <c r="L60" s="9"/>
      <c r="M60" s="9"/>
      <c r="N60" s="9"/>
      <c r="O60" s="9"/>
      <c r="P60" s="9"/>
      <c r="Q60" s="9"/>
      <c r="R60" s="9"/>
      <c r="S60" s="9"/>
    </row>
    <row r="61" spans="1:19" ht="3" customHeight="1" x14ac:dyDescent="0.3"/>
    <row r="62" spans="1:19" x14ac:dyDescent="0.3">
      <c r="A62" s="5" t="s">
        <v>372</v>
      </c>
      <c r="B62" s="5"/>
      <c r="C62" s="5"/>
      <c r="D62" s="5"/>
      <c r="E62" s="5"/>
      <c r="F62" s="5"/>
      <c r="G62" s="5"/>
      <c r="H62" s="5"/>
      <c r="I62" s="5"/>
      <c r="J62" s="5"/>
      <c r="K62" s="5"/>
      <c r="L62" s="5"/>
      <c r="M62" s="5"/>
      <c r="N62" s="5"/>
      <c r="O62" s="5"/>
      <c r="P62" s="5"/>
      <c r="Q62" s="5"/>
      <c r="R62" s="5"/>
      <c r="S62" s="5"/>
    </row>
    <row r="63" spans="1:19" x14ac:dyDescent="0.3">
      <c r="A63" s="1" t="s">
        <v>373</v>
      </c>
      <c r="B63" s="77">
        <f>Historicals!B72</f>
        <v>39</v>
      </c>
      <c r="C63" s="77">
        <f>Historicals!C72</f>
        <v>288</v>
      </c>
      <c r="D63" s="77">
        <f>Historicals!D72</f>
        <v>3796</v>
      </c>
      <c r="E63" s="30">
        <f>E65-E64</f>
        <v>41273.984000000004</v>
      </c>
      <c r="F63" s="30">
        <f>E63*(1+F12)</f>
        <v>70165.772800000006</v>
      </c>
      <c r="G63" s="30">
        <f>F63*(1+G12)</f>
        <v>94723.793280000013</v>
      </c>
      <c r="H63" s="30">
        <f>G63*(1+H12)</f>
        <v>115563.02780160001</v>
      </c>
      <c r="I63" s="30">
        <f>H63*(1+I12)</f>
        <v>134053.112249856</v>
      </c>
      <c r="J63" s="30">
        <f>I63*(1+J12)</f>
        <v>150139.48571983873</v>
      </c>
      <c r="K63" s="30">
        <f>J63*(1+K12)</f>
        <v>165153.43429182263</v>
      </c>
      <c r="L63" s="30">
        <f>K63*(1+L12)</f>
        <v>178365.70903516846</v>
      </c>
      <c r="M63" s="30">
        <f>L63*(1+M12)</f>
        <v>190851.30866763028</v>
      </c>
      <c r="N63" s="30">
        <f>M63*(1+N12)</f>
        <v>202302.38718768812</v>
      </c>
      <c r="O63" s="30">
        <f>N63*(1+O12)</f>
        <v>212417.50654707252</v>
      </c>
      <c r="P63" s="30">
        <f>O63*(1+P12)</f>
        <v>221976.29434169078</v>
      </c>
      <c r="Q63" s="30">
        <f>P63*(1+Q12)</f>
        <v>230855.34611535841</v>
      </c>
      <c r="R63" s="30">
        <f>Q63*(1+R12)</f>
        <v>238935.28322939592</v>
      </c>
      <c r="S63" s="30">
        <f>R63*(1+S12)</f>
        <v>246103.34172627781</v>
      </c>
    </row>
    <row r="64" spans="1:19" x14ac:dyDescent="0.3">
      <c r="A64" s="1" t="s">
        <v>374</v>
      </c>
      <c r="B64" s="77">
        <f>Historicals!B73</f>
        <v>2</v>
      </c>
      <c r="C64" s="77">
        <f>Historicals!C73</f>
        <v>98</v>
      </c>
      <c r="D64" s="77">
        <f>Historicals!D73</f>
        <v>789</v>
      </c>
      <c r="E64" s="30">
        <f>E65*E11</f>
        <v>10318.496000000001</v>
      </c>
      <c r="F64" s="30">
        <f>E64*(1+F13)</f>
        <v>16509.593600000004</v>
      </c>
      <c r="G64" s="30">
        <f>F64*(1+G13)</f>
        <v>21462.471680000006</v>
      </c>
      <c r="H64" s="30">
        <f>G64*(1+H13)</f>
        <v>25754.966016000006</v>
      </c>
      <c r="I64" s="30">
        <f>H64*(1+I13)</f>
        <v>29618.210918400004</v>
      </c>
      <c r="J64" s="30">
        <f>I64*(1+J13)</f>
        <v>32876.21411942401</v>
      </c>
      <c r="K64" s="30">
        <f>J64*(1+K13)</f>
        <v>35835.073390172176</v>
      </c>
      <c r="L64" s="30">
        <f>K64*(1+L13)</f>
        <v>38522.703894435086</v>
      </c>
      <c r="M64" s="30">
        <f>L64*(1+M13)</f>
        <v>41026.679647573364</v>
      </c>
      <c r="N64" s="30">
        <f>M64*(1+N13)</f>
        <v>43283.147028189895</v>
      </c>
      <c r="O64" s="30">
        <f>N64*(1+O13)</f>
        <v>45230.888644458435</v>
      </c>
      <c r="P64" s="30">
        <f>O64*(1+P13)</f>
        <v>47040.124190236776</v>
      </c>
      <c r="Q64" s="30">
        <f>P64*(1+Q13)</f>
        <v>48686.528536895057</v>
      </c>
      <c r="R64" s="30">
        <f>Q64*(1+R13)</f>
        <v>50147.124393001912</v>
      </c>
      <c r="S64" s="30">
        <f>R64*(1+S13)</f>
        <v>51651.538124791972</v>
      </c>
    </row>
    <row r="65" spans="1:19" x14ac:dyDescent="0.3">
      <c r="A65" s="10" t="s">
        <v>375</v>
      </c>
      <c r="B65" s="87">
        <f>Historicals!B7</f>
        <v>41</v>
      </c>
      <c r="C65" s="87">
        <f>Historicals!C7</f>
        <v>386</v>
      </c>
      <c r="D65" s="87">
        <f>Historicals!D7</f>
        <v>4585</v>
      </c>
      <c r="E65" s="34">
        <f>F58</f>
        <v>51592.480000000003</v>
      </c>
      <c r="F65" s="34">
        <f>F63+F64</f>
        <v>86675.366400000014</v>
      </c>
      <c r="G65" s="34">
        <f>G63+G64</f>
        <v>116186.26496000001</v>
      </c>
      <c r="H65" s="34">
        <f>H63+H64</f>
        <v>141317.99381760001</v>
      </c>
      <c r="I65" s="34">
        <f>I63+I64</f>
        <v>163671.323168256</v>
      </c>
      <c r="J65" s="34">
        <f>J63+J64</f>
        <v>183015.69983926276</v>
      </c>
      <c r="K65" s="34">
        <f>K63+K64</f>
        <v>200988.50768199482</v>
      </c>
      <c r="L65" s="34">
        <f>L63+L64</f>
        <v>216888.41292960354</v>
      </c>
      <c r="M65" s="34">
        <f>M63+M64</f>
        <v>231877.98831520363</v>
      </c>
      <c r="N65" s="34">
        <f>N63+N64</f>
        <v>245585.534215878</v>
      </c>
      <c r="O65" s="34">
        <f>O63+O64</f>
        <v>257648.39519153096</v>
      </c>
      <c r="P65" s="34">
        <f>P63+P64</f>
        <v>269016.41853192757</v>
      </c>
      <c r="Q65" s="34">
        <f>Q63+Q64</f>
        <v>279541.87465225346</v>
      </c>
      <c r="R65" s="34">
        <f>R63+R64</f>
        <v>289082.40762239782</v>
      </c>
      <c r="S65" s="34">
        <f>S63+S64</f>
        <v>297754.87985106977</v>
      </c>
    </row>
    <row r="66" spans="1:19" x14ac:dyDescent="0.3">
      <c r="A66" s="3" t="s">
        <v>376</v>
      </c>
      <c r="B66" s="75"/>
      <c r="C66" s="31">
        <f>C65/B65-1</f>
        <v>8.4146341463414629</v>
      </c>
      <c r="D66" s="31">
        <f>D65/C65-1</f>
        <v>10.878238341968911</v>
      </c>
      <c r="E66" s="31">
        <f>E65/D65-1</f>
        <v>10.252449291166849</v>
      </c>
      <c r="F66" s="31">
        <f>F65/E65-1</f>
        <v>0.68000000000000016</v>
      </c>
      <c r="G66" s="31">
        <f>G65/F65-1</f>
        <v>0.34047619047619038</v>
      </c>
      <c r="H66" s="31">
        <f>H65/G65-1</f>
        <v>0.21630550621669631</v>
      </c>
      <c r="I66" s="31">
        <f>I65/H65-1</f>
        <v>0.15817751686673076</v>
      </c>
      <c r="J66" s="31">
        <f>J65/I65-1</f>
        <v>0.11819038483070443</v>
      </c>
      <c r="K66" s="31">
        <f>K65/J65-1</f>
        <v>9.8203639679639743E-2</v>
      </c>
      <c r="L66" s="31">
        <f>L65/K65-1</f>
        <v>7.9108529293454133E-2</v>
      </c>
      <c r="M66" s="31">
        <f>M65/L65-1</f>
        <v>6.9111923422416011E-2</v>
      </c>
      <c r="N66" s="31">
        <f>N65/M65-1</f>
        <v>5.9115339063753547E-2</v>
      </c>
      <c r="O66" s="31">
        <f>O65/N65-1</f>
        <v>4.9118776536118292E-2</v>
      </c>
      <c r="P66" s="31">
        <f>P65/O65-1</f>
        <v>4.4122236165864193E-2</v>
      </c>
      <c r="Q66" s="31">
        <f>Q65/P65-1</f>
        <v>3.9125701612434227E-2</v>
      </c>
      <c r="R66" s="31">
        <f>R65/Q65-1</f>
        <v>3.4129172890511095E-2</v>
      </c>
      <c r="S66" s="31">
        <f>S65/R65-1</f>
        <v>3.0000000000000027E-2</v>
      </c>
    </row>
    <row r="67" spans="1:19" x14ac:dyDescent="0.3">
      <c r="A67" s="3" t="s">
        <v>377</v>
      </c>
      <c r="B67" s="31">
        <f>B64/B65</f>
        <v>4.878048780487805E-2</v>
      </c>
      <c r="C67" s="31">
        <f>C64/C65</f>
        <v>0.25388601036269431</v>
      </c>
      <c r="D67" s="31">
        <f>D64/D65</f>
        <v>0.17208287895310795</v>
      </c>
      <c r="E67" s="31">
        <f>E64/E65</f>
        <v>0.2</v>
      </c>
      <c r="F67" s="31">
        <f>F64/F65</f>
        <v>0.19047619047619049</v>
      </c>
      <c r="G67" s="31">
        <f>G64/G65</f>
        <v>0.18472468916518653</v>
      </c>
      <c r="H67" s="31">
        <f>H64/H65</f>
        <v>0.18224831332690794</v>
      </c>
      <c r="I67" s="31">
        <f>I64/I65</f>
        <v>0.18096151692958543</v>
      </c>
      <c r="J67" s="31">
        <f>J64/J65</f>
        <v>0.17963603203603959</v>
      </c>
      <c r="K67" s="31">
        <f>K64/K65</f>
        <v>0.17829414130916699</v>
      </c>
      <c r="L67" s="31">
        <f>L64/L65</f>
        <v>0.17761531551682558</v>
      </c>
      <c r="M67" s="31">
        <f>M64/M65</f>
        <v>0.17693218724928603</v>
      </c>
      <c r="N67" s="31">
        <f>N64/N65</f>
        <v>0.1762446927763365</v>
      </c>
      <c r="O67" s="31">
        <f>O64/O65</f>
        <v>0.17555276682718962</v>
      </c>
      <c r="P67" s="31">
        <f>P64/P65</f>
        <v>0.17485967751315495</v>
      </c>
      <c r="Q67" s="31">
        <f>Q64/Q65</f>
        <v>0.17416542189774065</v>
      </c>
      <c r="R67" s="31">
        <f>R64/R65</f>
        <v>0.17346999703456378</v>
      </c>
      <c r="S67" s="31">
        <f>S64/S65</f>
        <v>0.17346999703456381</v>
      </c>
    </row>
    <row r="68" spans="1:19" x14ac:dyDescent="0.3">
      <c r="A68" s="1" t="s">
        <v>378</v>
      </c>
      <c r="B68" s="77">
        <f>Historicals!B69</f>
        <v>34</v>
      </c>
      <c r="C68" s="77">
        <f>Historicals!C69</f>
        <v>263</v>
      </c>
      <c r="D68" s="77">
        <f>Historicals!D69</f>
        <v>3362</v>
      </c>
      <c r="E68" s="30">
        <f>E65*(1-E14)</f>
        <v>37662.510399999999</v>
      </c>
      <c r="F68" s="30">
        <f>F65*(1-F14)</f>
        <v>62839.640640000005</v>
      </c>
      <c r="G68" s="30">
        <f>G65*(1-G14)</f>
        <v>83654.110771200008</v>
      </c>
      <c r="H68" s="30">
        <f>H65*(1-H14)</f>
        <v>101042.36557958402</v>
      </c>
      <c r="I68" s="30">
        <f>I65*(1-I14)</f>
        <v>116206.63944946176</v>
      </c>
      <c r="J68" s="30">
        <f>J65*(1-J14)</f>
        <v>129026.06838668026</v>
      </c>
      <c r="K68" s="30">
        <f>K65*(1-K14)</f>
        <v>140691.95537739637</v>
      </c>
      <c r="L68" s="30">
        <f>L65*(1-L14)</f>
        <v>150737.44698607447</v>
      </c>
      <c r="M68" s="30">
        <f>M65*(1-M14)</f>
        <v>159995.81193749051</v>
      </c>
      <c r="N68" s="30">
        <f>N65*(1-N14)</f>
        <v>168226.09093787643</v>
      </c>
      <c r="O68" s="30">
        <f>O65*(1-O14)</f>
        <v>175200.90873024103</v>
      </c>
      <c r="P68" s="30">
        <f>P65*(1-P14)</f>
        <v>181586.08250905114</v>
      </c>
      <c r="Q68" s="30">
        <f>Q65*(1-Q14)</f>
        <v>187293.0560170098</v>
      </c>
      <c r="R68" s="30">
        <f>R65*(1-R14)</f>
        <v>193685.21310700651</v>
      </c>
      <c r="S68" s="30">
        <f>S65*(1-S14)</f>
        <v>199495.76950021673</v>
      </c>
    </row>
    <row r="69" spans="1:19" x14ac:dyDescent="0.3">
      <c r="A69" s="1" t="s">
        <v>379</v>
      </c>
      <c r="B69" s="77">
        <f>Historicals!B70</f>
        <v>7</v>
      </c>
      <c r="C69" s="77">
        <f>Historicals!C70</f>
        <v>123</v>
      </c>
      <c r="D69" s="77">
        <f>Historicals!D70</f>
        <v>1223</v>
      </c>
      <c r="E69" s="30">
        <f>E65*E14</f>
        <v>13929.969600000002</v>
      </c>
      <c r="F69" s="30">
        <f>F65*F14</f>
        <v>23835.725760000005</v>
      </c>
      <c r="G69" s="30">
        <f>G65*G14</f>
        <v>32532.154188800007</v>
      </c>
      <c r="H69" s="30">
        <f>H65*H14</f>
        <v>40275.628238015997</v>
      </c>
      <c r="I69" s="30">
        <f>I65*I14</f>
        <v>47464.683718794236</v>
      </c>
      <c r="J69" s="30">
        <f>J65*J14</f>
        <v>53989.631452582507</v>
      </c>
      <c r="K69" s="30">
        <f>K65*K14</f>
        <v>60296.552304598445</v>
      </c>
      <c r="L69" s="30">
        <f>L65*L14</f>
        <v>66150.965943529081</v>
      </c>
      <c r="M69" s="30">
        <f>M65*M14</f>
        <v>71882.176377713127</v>
      </c>
      <c r="N69" s="30">
        <f>N65*N14</f>
        <v>77359.443278001563</v>
      </c>
      <c r="O69" s="30">
        <f>O65*O14</f>
        <v>82447.486461289911</v>
      </c>
      <c r="P69" s="30">
        <f>P65*P14</f>
        <v>87430.336022876465</v>
      </c>
      <c r="Q69" s="30">
        <f>Q65*Q14</f>
        <v>92248.818635243646</v>
      </c>
      <c r="R69" s="30">
        <f>R65*R14</f>
        <v>95397.194515391282</v>
      </c>
      <c r="S69" s="30">
        <f>S65*S14</f>
        <v>98259.110350853021</v>
      </c>
    </row>
    <row r="70" spans="1:19" x14ac:dyDescent="0.3">
      <c r="A70" s="1" t="s">
        <v>380</v>
      </c>
      <c r="B70" s="22"/>
      <c r="C70" s="22"/>
      <c r="D70" s="78">
        <f>Historicals!E168</f>
        <v>1500</v>
      </c>
      <c r="E70" s="88">
        <f>D70*(1+E15)</f>
        <v>12000</v>
      </c>
      <c r="F70" s="88">
        <f>E70*(1+F15)</f>
        <v>19200</v>
      </c>
      <c r="G70" s="88">
        <f>F70*(1+G15)</f>
        <v>25920</v>
      </c>
      <c r="H70" s="88">
        <f>G70*(1+H15)</f>
        <v>31622.399999999998</v>
      </c>
      <c r="I70" s="88">
        <f>H70*(1+I15)</f>
        <v>36681.983999999997</v>
      </c>
      <c r="J70" s="88">
        <f>I70*(1+J15)</f>
        <v>41083.822079999998</v>
      </c>
      <c r="K70" s="88">
        <f>J70*(1+K15)</f>
        <v>45192.204288000001</v>
      </c>
      <c r="L70" s="88">
        <f>K70*(1+L15)</f>
        <v>48807.580631040008</v>
      </c>
      <c r="M70" s="88">
        <f>L70*(1+M15)</f>
        <v>51736.03546890241</v>
      </c>
      <c r="N70" s="88">
        <f>M70*(1+N15)</f>
        <v>54322.83724234753</v>
      </c>
      <c r="O70" s="88">
        <f>N70*(1+O15)</f>
        <v>56495.750732041437</v>
      </c>
      <c r="P70" s="88">
        <f>O70*(1+P15)</f>
        <v>58473.102007662885</v>
      </c>
      <c r="Q70" s="88">
        <f>P70*(1+Q15)</f>
        <v>60227.295067892774</v>
      </c>
      <c r="R70" s="88">
        <f>Q70*(1+R15)</f>
        <v>62034.113919929558</v>
      </c>
      <c r="S70" s="88">
        <f>R70*(1+S15)</f>
        <v>63584.966767927792</v>
      </c>
    </row>
    <row r="71" spans="1:19" x14ac:dyDescent="0.3">
      <c r="A71" s="1" t="s">
        <v>381</v>
      </c>
      <c r="B71" s="9"/>
      <c r="C71" s="9"/>
      <c r="D71" s="9"/>
      <c r="E71" s="30">
        <f>E65*E16</f>
        <v>39210.284800000001</v>
      </c>
      <c r="F71" s="30">
        <f>F65*F16</f>
        <v>66306.655296000012</v>
      </c>
      <c r="G71" s="30">
        <f>G65*G16</f>
        <v>89463.424019200014</v>
      </c>
      <c r="H71" s="30">
        <f>H65*H16</f>
        <v>109521.44520864001</v>
      </c>
      <c r="I71" s="30">
        <f>I65*I16</f>
        <v>127663.63207123968</v>
      </c>
      <c r="J71" s="30">
        <f>J65*J16</f>
        <v>143667.32437382126</v>
      </c>
      <c r="K71" s="30">
        <f>K65*K16</f>
        <v>158780.9210687759</v>
      </c>
      <c r="L71" s="30">
        <f>L65*L16</f>
        <v>172426.28827903481</v>
      </c>
      <c r="M71" s="30">
        <f>M65*M16</f>
        <v>185502.39065216293</v>
      </c>
      <c r="N71" s="30">
        <f>N65*N16</f>
        <v>196468.4273727024</v>
      </c>
      <c r="O71" s="30">
        <f>O65*O16</f>
        <v>206118.71615322478</v>
      </c>
      <c r="P71" s="30">
        <f>P65*P16</f>
        <v>215213.13482554207</v>
      </c>
      <c r="Q71" s="30">
        <f>Q65*Q16</f>
        <v>223633.49972180277</v>
      </c>
      <c r="R71" s="30">
        <f>R65*R16</f>
        <v>231265.92609791827</v>
      </c>
      <c r="S71" s="30">
        <f>S65*S16</f>
        <v>238203.90388085583</v>
      </c>
    </row>
    <row r="72" spans="1:19" x14ac:dyDescent="0.3">
      <c r="A72" s="3" t="s">
        <v>382</v>
      </c>
      <c r="B72" s="69"/>
      <c r="C72" s="69"/>
      <c r="D72" s="69"/>
      <c r="E72" s="89">
        <f>E71/AVERAGE(D70,E70)</f>
        <v>5.8089310814814814</v>
      </c>
      <c r="F72" s="89">
        <f>F71/AVERAGE(E70,F70)</f>
        <v>4.2504266215384625</v>
      </c>
      <c r="G72" s="89">
        <f>G71/AVERAGE(F70,G70)</f>
        <v>3.9655773058156036</v>
      </c>
      <c r="H72" s="89">
        <f>H71/AVERAGE(G70,H70)</f>
        <v>3.8066345932265606</v>
      </c>
      <c r="I72" s="89">
        <f>I71/AVERAGE(H70,I70)</f>
        <v>3.7380801815368017</v>
      </c>
      <c r="J72" s="89">
        <f>J71/AVERAGE(I70,J70)</f>
        <v>3.6948713481096411</v>
      </c>
      <c r="K72" s="89">
        <f>K71/AVERAGE(J70,K70)</f>
        <v>3.6807657411460983</v>
      </c>
      <c r="L72" s="89">
        <f>L71/AVERAGE(K70,L70)</f>
        <v>3.6686528256961832</v>
      </c>
      <c r="M72" s="89">
        <f>M71/AVERAGE(L70,M70)</f>
        <v>3.6899884417876865</v>
      </c>
      <c r="N72" s="89">
        <f>N71/AVERAGE(M70,N70)</f>
        <v>3.7048937509942528</v>
      </c>
      <c r="O72" s="89">
        <f>O71/AVERAGE(N70,O70)</f>
        <v>3.7199303820918637</v>
      </c>
      <c r="P72" s="89">
        <f>P71/AVERAGE(O70,P70)</f>
        <v>3.7438511335378148</v>
      </c>
      <c r="Q72" s="89">
        <f>Q71/AVERAGE(P70,Q70)</f>
        <v>3.7680328833180678</v>
      </c>
      <c r="R72" s="89">
        <f>R71/AVERAGE(Q70,R70)</f>
        <v>3.7831385718931667</v>
      </c>
      <c r="S72" s="89">
        <f>S71/AVERAGE(R70,S70)</f>
        <v>3.7924796547867303</v>
      </c>
    </row>
    <row r="73" spans="1:19" x14ac:dyDescent="0.3">
      <c r="A73" s="1" t="s">
        <v>383</v>
      </c>
      <c r="B73" s="9"/>
      <c r="C73" s="9"/>
      <c r="D73" s="9"/>
      <c r="E73" s="30">
        <f>E65-E71</f>
        <v>12382.195200000002</v>
      </c>
      <c r="F73" s="30">
        <f>F65-F71</f>
        <v>20368.711104000002</v>
      </c>
      <c r="G73" s="30">
        <f>G65-G71</f>
        <v>26722.840940800001</v>
      </c>
      <c r="H73" s="30">
        <f>H65-H71</f>
        <v>31796.548608960002</v>
      </c>
      <c r="I73" s="30">
        <f>I65-I71</f>
        <v>36007.691097016315</v>
      </c>
      <c r="J73" s="30">
        <f>J65-J71</f>
        <v>39348.375465441495</v>
      </c>
      <c r="K73" s="30">
        <f>K65-K71</f>
        <v>42207.586613218911</v>
      </c>
      <c r="L73" s="30">
        <f>L65-L71</f>
        <v>44462.12465056873</v>
      </c>
      <c r="M73" s="30">
        <f>M65-M71</f>
        <v>46375.597663040709</v>
      </c>
      <c r="N73" s="30">
        <f>N65-N71</f>
        <v>49117.106843175599</v>
      </c>
      <c r="O73" s="30">
        <f>O65-O71</f>
        <v>51529.679038306174</v>
      </c>
      <c r="P73" s="30">
        <f>P65-P71</f>
        <v>53803.283706385497</v>
      </c>
      <c r="Q73" s="30">
        <f>Q65-Q71</f>
        <v>55908.374930450693</v>
      </c>
      <c r="R73" s="30">
        <f>R65-R71</f>
        <v>57816.481524479546</v>
      </c>
      <c r="S73" s="30">
        <f>S65-S71</f>
        <v>59550.975970213942</v>
      </c>
    </row>
    <row r="74" spans="1:19" ht="3" customHeight="1" x14ac:dyDescent="0.3"/>
    <row r="75" spans="1:19" x14ac:dyDescent="0.3">
      <c r="A75" s="5" t="s">
        <v>384</v>
      </c>
      <c r="B75" s="5"/>
      <c r="C75" s="5"/>
      <c r="D75" s="5"/>
      <c r="E75" s="5"/>
      <c r="F75" s="5"/>
      <c r="G75" s="5"/>
      <c r="H75" s="5"/>
      <c r="I75" s="5"/>
      <c r="J75" s="5"/>
      <c r="K75" s="5"/>
      <c r="L75" s="5"/>
      <c r="M75" s="5"/>
      <c r="N75" s="5"/>
      <c r="O75" s="5"/>
      <c r="P75" s="5"/>
      <c r="Q75" s="5"/>
      <c r="R75" s="5"/>
      <c r="S75" s="5"/>
    </row>
    <row r="76" spans="1:19" x14ac:dyDescent="0.3">
      <c r="A76" s="1" t="s">
        <v>385</v>
      </c>
      <c r="B76" s="9"/>
      <c r="C76" s="9"/>
      <c r="D76" s="9"/>
      <c r="E76" s="30">
        <f>E65*E17</f>
        <v>16509.5936</v>
      </c>
      <c r="F76" s="30">
        <f>F65*F17</f>
        <v>27302.740416000004</v>
      </c>
      <c r="G76" s="30">
        <f>G65*G17</f>
        <v>36017.742137600006</v>
      </c>
      <c r="H76" s="30">
        <f>H65*H17</f>
        <v>41688.808176192004</v>
      </c>
      <c r="I76" s="30">
        <f>I65*I17</f>
        <v>45827.970487111685</v>
      </c>
      <c r="J76" s="30">
        <f>J65*J17</f>
        <v>49414.238956600944</v>
      </c>
      <c r="K76" s="30">
        <f>K65*K17</f>
        <v>52257.011997318652</v>
      </c>
      <c r="L76" s="30">
        <f>L65*L17</f>
        <v>55306.545297048906</v>
      </c>
      <c r="M76" s="30">
        <f>M65*M17</f>
        <v>57969.497078800909</v>
      </c>
      <c r="N76" s="30">
        <f>N65*N17</f>
        <v>60168.455882890106</v>
      </c>
      <c r="O76" s="30">
        <f>O65*O17</f>
        <v>61835.61484596743</v>
      </c>
      <c r="P76" s="30">
        <f>P65*P17</f>
        <v>64563.940447662615</v>
      </c>
      <c r="Q76" s="30">
        <f>Q65*Q17</f>
        <v>67090.049916540826</v>
      </c>
      <c r="R76" s="30">
        <f>R65*R17</f>
        <v>69379.777829375467</v>
      </c>
      <c r="S76" s="30">
        <f>S65*S17</f>
        <v>71461.171164256739</v>
      </c>
    </row>
    <row r="77" spans="1:19" x14ac:dyDescent="0.3">
      <c r="A77" s="1" t="s">
        <v>386</v>
      </c>
      <c r="B77" s="9"/>
      <c r="C77" s="9"/>
      <c r="D77" s="9"/>
      <c r="E77" s="30">
        <f>E65*E18</f>
        <v>14445.894400000003</v>
      </c>
      <c r="F77" s="30">
        <f>F65*F18</f>
        <v>21668.841600000003</v>
      </c>
      <c r="G77" s="30">
        <f>G65*G18</f>
        <v>26141.909616000004</v>
      </c>
      <c r="H77" s="30">
        <f>H65*H18</f>
        <v>28970.188732608</v>
      </c>
      <c r="I77" s="30">
        <f>I65*I18</f>
        <v>31097.551401968642</v>
      </c>
      <c r="J77" s="30">
        <f>J65*J18</f>
        <v>32942.825971067294</v>
      </c>
      <c r="K77" s="30">
        <f>K65*K18</f>
        <v>34168.046305939119</v>
      </c>
      <c r="L77" s="30">
        <f>L65*L18</f>
        <v>34702.146068736569</v>
      </c>
      <c r="M77" s="30">
        <f>M65*M18</f>
        <v>35941.088188856564</v>
      </c>
      <c r="N77" s="30">
        <f>N65*N18</f>
        <v>36837.8301323817</v>
      </c>
      <c r="O77" s="30">
        <f>O65*O18</f>
        <v>37359.017302771987</v>
      </c>
      <c r="P77" s="30">
        <f>P65*P18</f>
        <v>37662.298594469867</v>
      </c>
      <c r="Q77" s="30">
        <f>Q65*Q18</f>
        <v>39135.862451315486</v>
      </c>
      <c r="R77" s="30">
        <f>R65*R18</f>
        <v>40471.537067135701</v>
      </c>
      <c r="S77" s="30">
        <f>S65*S18</f>
        <v>41685.683179149768</v>
      </c>
    </row>
    <row r="78" spans="1:19" x14ac:dyDescent="0.3">
      <c r="A78" s="10" t="s">
        <v>387</v>
      </c>
      <c r="B78" s="87">
        <f>Historicals!B9</f>
        <v>433</v>
      </c>
      <c r="C78" s="87">
        <f>Historicals!C9</f>
        <v>2522</v>
      </c>
      <c r="D78" s="87">
        <f>Historicals!D9</f>
        <v>7326</v>
      </c>
      <c r="E78" s="34">
        <f>E76+E77</f>
        <v>30955.488000000005</v>
      </c>
      <c r="F78" s="34">
        <f>F76+F77</f>
        <v>48971.582016000008</v>
      </c>
      <c r="G78" s="34">
        <f>G76+G77</f>
        <v>62159.65175360001</v>
      </c>
      <c r="H78" s="34">
        <f>H76+H77</f>
        <v>70658.996908800007</v>
      </c>
      <c r="I78" s="34">
        <f>I76+I77</f>
        <v>76925.521889080323</v>
      </c>
      <c r="J78" s="34">
        <f>J76+J77</f>
        <v>82357.064927668238</v>
      </c>
      <c r="K78" s="34">
        <f>K76+K77</f>
        <v>86425.058303257771</v>
      </c>
      <c r="L78" s="34">
        <f>L76+L77</f>
        <v>90008.691365785475</v>
      </c>
      <c r="M78" s="34">
        <f>M76+M77</f>
        <v>93910.585267657472</v>
      </c>
      <c r="N78" s="34">
        <f>N76+N77</f>
        <v>97006.286015271806</v>
      </c>
      <c r="O78" s="34">
        <f>O76+O77</f>
        <v>99194.632148739416</v>
      </c>
      <c r="P78" s="34">
        <f>P76+P77</f>
        <v>102226.23904213248</v>
      </c>
      <c r="Q78" s="34">
        <f>Q76+Q77</f>
        <v>106225.9123678563</v>
      </c>
      <c r="R78" s="34">
        <f>R76+R77</f>
        <v>109851.31489651118</v>
      </c>
      <c r="S78" s="34">
        <f>S76+S77</f>
        <v>113146.85434340651</v>
      </c>
    </row>
    <row r="79" spans="1:19" x14ac:dyDescent="0.3">
      <c r="A79" s="3" t="s">
        <v>388</v>
      </c>
      <c r="B79" s="31">
        <f>B78/B65</f>
        <v>10.560975609756097</v>
      </c>
      <c r="C79" s="31">
        <f>C78/C65</f>
        <v>6.5336787564766841</v>
      </c>
      <c r="D79" s="31">
        <f>D78/D65</f>
        <v>1.5978189749182115</v>
      </c>
      <c r="E79" s="31">
        <f>E78/E65</f>
        <v>0.60000000000000009</v>
      </c>
      <c r="F79" s="31">
        <f>F78/F65</f>
        <v>0.56499999999999995</v>
      </c>
      <c r="G79" s="31">
        <f>G78/G65</f>
        <v>0.53500000000000003</v>
      </c>
      <c r="H79" s="31">
        <f>H78/H65</f>
        <v>0.5</v>
      </c>
      <c r="I79" s="31">
        <f>I78/I65</f>
        <v>0.47000000000000003</v>
      </c>
      <c r="J79" s="31">
        <f>J78/J65</f>
        <v>0.45</v>
      </c>
      <c r="K79" s="31">
        <f>K78/K65</f>
        <v>0.43</v>
      </c>
      <c r="L79" s="31">
        <f>L78/L65</f>
        <v>0.41500000000000004</v>
      </c>
      <c r="M79" s="31">
        <f>M78/M65</f>
        <v>0.40500000000000003</v>
      </c>
      <c r="N79" s="31">
        <f>N78/N65</f>
        <v>0.39499999999999996</v>
      </c>
      <c r="O79" s="31">
        <f>O78/O65</f>
        <v>0.38500000000000001</v>
      </c>
      <c r="P79" s="31">
        <f>P78/P65</f>
        <v>0.38</v>
      </c>
      <c r="Q79" s="31">
        <f>Q78/Q65</f>
        <v>0.37999999999999995</v>
      </c>
      <c r="R79" s="31">
        <f>R78/R65</f>
        <v>0.38</v>
      </c>
      <c r="S79" s="31">
        <f>S78/S65</f>
        <v>0.38</v>
      </c>
    </row>
    <row r="80" spans="1:19" x14ac:dyDescent="0.3">
      <c r="A80" s="1" t="s">
        <v>389</v>
      </c>
      <c r="B80" s="90"/>
      <c r="C80" s="90"/>
      <c r="D80" s="91">
        <f>D78/$E$19</f>
        <v>0.61050000000000004</v>
      </c>
      <c r="E80" s="91">
        <f>E78/E19</f>
        <v>2.5796240000000004</v>
      </c>
      <c r="F80" s="91">
        <f>F78/F19</f>
        <v>4.1642501714285718</v>
      </c>
      <c r="G80" s="91">
        <f>G78/G19</f>
        <v>5.3935557886991541</v>
      </c>
      <c r="H80" s="91">
        <f>H78/H19</f>
        <v>6.2561643403132567</v>
      </c>
      <c r="I80" s="91">
        <f>I78/I19</f>
        <v>6.9500128192945976</v>
      </c>
      <c r="J80" s="91">
        <f>J78/J19</f>
        <v>7.5926122363481365</v>
      </c>
      <c r="K80" s="91">
        <f>K78/K19</f>
        <v>8.1302206285225704</v>
      </c>
      <c r="L80" s="91">
        <f>L78/L19</f>
        <v>8.6401431596626317</v>
      </c>
      <c r="M80" s="91">
        <f>M78/M19</f>
        <v>9.1986233267697237</v>
      </c>
      <c r="N80" s="91">
        <f>N78/N19</f>
        <v>9.6957807111715955</v>
      </c>
      <c r="O80" s="91">
        <f>O78/O19</f>
        <v>10.116842818258158</v>
      </c>
      <c r="P80" s="91">
        <f>P78/P19</f>
        <v>10.638814320428409</v>
      </c>
      <c r="Q80" s="91">
        <f>Q78/Q19</f>
        <v>11.28070772549076</v>
      </c>
      <c r="R80" s="91">
        <f>R78/R19</f>
        <v>11.903743365138887</v>
      </c>
      <c r="S80" s="91">
        <f>S78/S19</f>
        <v>12.51112424598411</v>
      </c>
    </row>
    <row r="81" spans="1:19" x14ac:dyDescent="0.3">
      <c r="A81" s="1" t="s">
        <v>390</v>
      </c>
      <c r="B81" s="22"/>
      <c r="C81" s="22"/>
      <c r="D81" s="88">
        <f>D80*$E$20</f>
        <v>396.82500000000005</v>
      </c>
      <c r="E81" s="88">
        <f>E80*E20</f>
        <v>1676.7556000000002</v>
      </c>
      <c r="F81" s="88">
        <f>F80*F20</f>
        <v>2625.5597330857145</v>
      </c>
      <c r="G81" s="88">
        <f>G80*G20</f>
        <v>3298.698720368403</v>
      </c>
      <c r="H81" s="88">
        <f>H80*H20</f>
        <v>3711.156686673824</v>
      </c>
      <c r="I81" s="88">
        <f>I80*I20</f>
        <v>3999.0373762221111</v>
      </c>
      <c r="J81" s="88">
        <f>J80*J20</f>
        <v>4238.1961503295306</v>
      </c>
      <c r="K81" s="88">
        <f>K80*K20</f>
        <v>4401.7014482821196</v>
      </c>
      <c r="L81" s="88">
        <f>L80*L20</f>
        <v>4537.8031874548142</v>
      </c>
      <c r="M81" s="88">
        <f>M80*M20</f>
        <v>4685.7787226564969</v>
      </c>
      <c r="N81" s="88">
        <f>N80*N20</f>
        <v>4791.6548274610022</v>
      </c>
      <c r="O81" s="88">
        <f>O80*O20</f>
        <v>4849.002762791135</v>
      </c>
      <c r="P81" s="88">
        <f>P80*P20</f>
        <v>4945.9847775671669</v>
      </c>
      <c r="Q81" s="88">
        <f>Q80*Q20</f>
        <v>5087.5991841963332</v>
      </c>
      <c r="R81" s="88">
        <f>R80*R20</f>
        <v>5207.8877222482633</v>
      </c>
      <c r="S81" s="88">
        <f>S80*S20</f>
        <v>5308.4700175710577</v>
      </c>
    </row>
    <row r="82" spans="1:19" x14ac:dyDescent="0.3">
      <c r="A82" s="1" t="s">
        <v>391</v>
      </c>
      <c r="B82" s="90"/>
      <c r="C82" s="90"/>
      <c r="D82" s="90"/>
      <c r="E82" s="91">
        <f>D85</f>
        <v>0</v>
      </c>
      <c r="F82" s="91">
        <f>E85</f>
        <v>9.8456200000000021E-2</v>
      </c>
      <c r="G82" s="91">
        <f>F85</f>
        <v>0.25691881714285714</v>
      </c>
      <c r="H82" s="91">
        <f>G85</f>
        <v>0.44131465973344447</v>
      </c>
      <c r="I82" s="91">
        <f>H85</f>
        <v>0.61383637005626501</v>
      </c>
      <c r="J82" s="91">
        <f>I85</f>
        <v>0.78729848980160022</v>
      </c>
      <c r="K82" s="91">
        <f>J85</f>
        <v>0.94794834406498496</v>
      </c>
      <c r="L82" s="91">
        <f>K85</f>
        <v>1.0823504421085934</v>
      </c>
      <c r="M82" s="91">
        <f>L85</f>
        <v>1.2098310748936087</v>
      </c>
      <c r="N82" s="91">
        <f>M85</f>
        <v>1.3494511166703818</v>
      </c>
      <c r="O82" s="91">
        <f>N85</f>
        <v>1.4737404627708497</v>
      </c>
      <c r="P82" s="91">
        <f>O85</f>
        <v>1.5790059895424904</v>
      </c>
      <c r="Q82" s="91">
        <f>P85</f>
        <v>1.7094988650850531</v>
      </c>
      <c r="R82" s="91">
        <f>Q85</f>
        <v>1.8699722163506409</v>
      </c>
      <c r="S82" s="91">
        <f>R85</f>
        <v>2.0257311262626727</v>
      </c>
    </row>
    <row r="83" spans="1:19" x14ac:dyDescent="0.3">
      <c r="A83" s="1" t="s">
        <v>392</v>
      </c>
      <c r="B83" s="90"/>
      <c r="C83" s="90"/>
      <c r="D83" s="90"/>
      <c r="E83" s="91">
        <f>MAX(0,E80-D80)</f>
        <v>1.9691240000000003</v>
      </c>
      <c r="F83" s="91">
        <f>MAX(0,F80-E80)</f>
        <v>1.5846261714285714</v>
      </c>
      <c r="G83" s="91">
        <f>MAX(0,G80-F80)</f>
        <v>1.2293056172705823</v>
      </c>
      <c r="H83" s="91">
        <f>MAX(0,H80-G80)</f>
        <v>0.86260855161410266</v>
      </c>
      <c r="I83" s="91">
        <f>MAX(0,I80-H80)</f>
        <v>0.69384847898134083</v>
      </c>
      <c r="J83" s="91">
        <f>MAX(0,J80-I80)</f>
        <v>0.64259941705353896</v>
      </c>
      <c r="K83" s="91">
        <f>MAX(0,K80-J80)</f>
        <v>0.5376083921744339</v>
      </c>
      <c r="L83" s="91">
        <f>MAX(0,L80-K80)</f>
        <v>0.50992253114006125</v>
      </c>
      <c r="M83" s="91">
        <f>MAX(0,M80-L80)</f>
        <v>0.55848016710709203</v>
      </c>
      <c r="N83" s="91">
        <f>MAX(0,N80-M80)</f>
        <v>0.49715738440187174</v>
      </c>
      <c r="O83" s="91">
        <f>MAX(0,O80-N80)</f>
        <v>0.42106210708656278</v>
      </c>
      <c r="P83" s="91">
        <f>MAX(0,P80-O80)</f>
        <v>0.5219715021702509</v>
      </c>
      <c r="Q83" s="91">
        <f>MAX(0,Q80-P80)</f>
        <v>0.64189340506235126</v>
      </c>
      <c r="R83" s="91">
        <f>MAX(0,R80-Q80)</f>
        <v>0.62303563964812625</v>
      </c>
      <c r="S83" s="91">
        <f>MAX(0,S80-R80)</f>
        <v>0.60738088084522346</v>
      </c>
    </row>
    <row r="84" spans="1:19" x14ac:dyDescent="0.3">
      <c r="A84" s="1" t="s">
        <v>393</v>
      </c>
      <c r="B84" s="90"/>
      <c r="C84" s="90"/>
      <c r="D84" s="90"/>
      <c r="E84" s="91">
        <f>E83*E21</f>
        <v>9.8456200000000021E-2</v>
      </c>
      <c r="F84" s="91">
        <f>F83*F21</f>
        <v>0.15846261714285714</v>
      </c>
      <c r="G84" s="91">
        <f>G83*G21</f>
        <v>0.18439584259058733</v>
      </c>
      <c r="H84" s="91">
        <f>H83*H21</f>
        <v>0.17252171032282054</v>
      </c>
      <c r="I84" s="91">
        <f>I83*I21</f>
        <v>0.17346211974533521</v>
      </c>
      <c r="J84" s="91">
        <f>J83*J21</f>
        <v>0.16064985426338474</v>
      </c>
      <c r="K84" s="91">
        <f>K83*K21</f>
        <v>0.13440209804360848</v>
      </c>
      <c r="L84" s="91">
        <f>L83*L21</f>
        <v>0.12748063278501531</v>
      </c>
      <c r="M84" s="91">
        <f>M83*M21</f>
        <v>0.13962004177677301</v>
      </c>
      <c r="N84" s="91">
        <f>N83*N21</f>
        <v>0.12428934610046793</v>
      </c>
      <c r="O84" s="91">
        <f>O83*O21</f>
        <v>0.10526552677164069</v>
      </c>
      <c r="P84" s="91">
        <f>P83*P21</f>
        <v>0.13049287554256273</v>
      </c>
      <c r="Q84" s="91">
        <f>Q83*Q21</f>
        <v>0.16047335126558782</v>
      </c>
      <c r="R84" s="91">
        <f>R83*R21</f>
        <v>0.15575890991203156</v>
      </c>
      <c r="S84" s="91">
        <f>S83*S21</f>
        <v>0.15184522021130586</v>
      </c>
    </row>
    <row r="85" spans="1:19" x14ac:dyDescent="0.3">
      <c r="A85" s="1" t="s">
        <v>394</v>
      </c>
      <c r="B85" s="90"/>
      <c r="C85" s="90"/>
      <c r="D85" s="92">
        <v>0</v>
      </c>
      <c r="E85" s="91">
        <f>E82+E84</f>
        <v>9.8456200000000021E-2</v>
      </c>
      <c r="F85" s="91">
        <f>F82+F84</f>
        <v>0.25691881714285714</v>
      </c>
      <c r="G85" s="91">
        <f>G82+G84</f>
        <v>0.44131465973344447</v>
      </c>
      <c r="H85" s="91">
        <f>H82+H84</f>
        <v>0.61383637005626501</v>
      </c>
      <c r="I85" s="91">
        <f>I82+I84</f>
        <v>0.78729848980160022</v>
      </c>
      <c r="J85" s="91">
        <f>J82+J84</f>
        <v>0.94794834406498496</v>
      </c>
      <c r="K85" s="91">
        <f>K82+K84</f>
        <v>1.0823504421085934</v>
      </c>
      <c r="L85" s="91">
        <f>L82+L84</f>
        <v>1.2098310748936087</v>
      </c>
      <c r="M85" s="91">
        <f>M82+M84</f>
        <v>1.3494511166703818</v>
      </c>
      <c r="N85" s="91">
        <f>N82+N84</f>
        <v>1.4737404627708497</v>
      </c>
      <c r="O85" s="91">
        <f>O82+O84</f>
        <v>1.5790059895424904</v>
      </c>
      <c r="P85" s="91">
        <f>P82+P84</f>
        <v>1.7094988650850531</v>
      </c>
      <c r="Q85" s="91">
        <f>Q82+Q84</f>
        <v>1.8699722163506409</v>
      </c>
      <c r="R85" s="91">
        <f>R82+R84</f>
        <v>2.0257311262626727</v>
      </c>
      <c r="S85" s="91">
        <f>S82+S84</f>
        <v>2.1775763464739786</v>
      </c>
    </row>
    <row r="86" spans="1:19" x14ac:dyDescent="0.3">
      <c r="A86" s="3" t="s">
        <v>395</v>
      </c>
      <c r="B86" s="75"/>
      <c r="C86" s="75"/>
      <c r="D86" s="75"/>
      <c r="E86" s="31">
        <f>IF(E80&gt;0,E85/E80,0)</f>
        <v>3.8166880134469214E-2</v>
      </c>
      <c r="F86" s="31">
        <f>IF(F80&gt;0,F85/F80,0)</f>
        <v>6.1696297428432245E-2</v>
      </c>
      <c r="G86" s="31">
        <f>IF(G80&gt;0,G85/G80,0)</f>
        <v>8.1822581803660741E-2</v>
      </c>
      <c r="H86" s="31">
        <f>IF(H80&gt;0,H85/H80,0)</f>
        <v>9.8117046910172631E-2</v>
      </c>
      <c r="I86" s="31">
        <f>IF(I80&gt;0,I85/I80,0)</f>
        <v>0.11328014929927975</v>
      </c>
      <c r="J86" s="31">
        <f>IF(J80&gt;0,J85/J80,0)</f>
        <v>0.12485141010189732</v>
      </c>
      <c r="K86" s="31">
        <f>IF(K80&gt;0,K85/K80,0)</f>
        <v>0.13312682294395237</v>
      </c>
      <c r="L86" s="31">
        <f>IF(L80&gt;0,L85/L80,0)</f>
        <v>0.14002442465789519</v>
      </c>
      <c r="M86" s="31">
        <f>IF(M80&gt;0,M85/M80,0)</f>
        <v>0.14670142136848077</v>
      </c>
      <c r="N86" s="31">
        <f>IF(N80&gt;0,N85/N80,0)</f>
        <v>0.15199812234540208</v>
      </c>
      <c r="O86" s="31">
        <f>IF(O80&gt;0,O85/O80,0)</f>
        <v>0.15607695186217707</v>
      </c>
      <c r="P86" s="31">
        <f>IF(P80&gt;0,P85/P80,0)</f>
        <v>0.16068509268016007</v>
      </c>
      <c r="Q86" s="31">
        <f>IF(Q80&gt;0,Q85/Q80,0)</f>
        <v>0.16576727824665707</v>
      </c>
      <c r="R86" s="31">
        <f>IF(R80&gt;0,R85/R80,0)</f>
        <v>0.1701759744077814</v>
      </c>
      <c r="S86" s="31">
        <f>IF(S80&gt;0,S85/S80,0)</f>
        <v>0.17405121263766116</v>
      </c>
    </row>
    <row r="87" spans="1:19" x14ac:dyDescent="0.3">
      <c r="A87" s="1" t="s">
        <v>396</v>
      </c>
      <c r="B87" s="90"/>
      <c r="C87" s="90"/>
      <c r="D87" s="90"/>
      <c r="E87" s="91">
        <f>E80-E85</f>
        <v>2.4811678000000001</v>
      </c>
      <c r="F87" s="91">
        <f>F80-F85</f>
        <v>3.9073313542857147</v>
      </c>
      <c r="G87" s="91">
        <f>G80-G85</f>
        <v>4.95224112896571</v>
      </c>
      <c r="H87" s="91">
        <f>H80-H85</f>
        <v>5.642327970256992</v>
      </c>
      <c r="I87" s="91">
        <f>I80-I85</f>
        <v>6.1627143294929976</v>
      </c>
      <c r="J87" s="91">
        <f>J80-J85</f>
        <v>6.6446638922831518</v>
      </c>
      <c r="K87" s="91">
        <f>K80-K85</f>
        <v>7.0478701864139772</v>
      </c>
      <c r="L87" s="91">
        <f>L80-L85</f>
        <v>7.4303120847690227</v>
      </c>
      <c r="M87" s="91">
        <f>M80-M85</f>
        <v>7.8491722100993417</v>
      </c>
      <c r="N87" s="91">
        <f>N80-N85</f>
        <v>8.2220402484007451</v>
      </c>
      <c r="O87" s="91">
        <f>O80-O85</f>
        <v>8.5378368287156672</v>
      </c>
      <c r="P87" s="91">
        <f>P80-P85</f>
        <v>8.9293154553433567</v>
      </c>
      <c r="Q87" s="91">
        <f>Q80-Q85</f>
        <v>9.4107355091401192</v>
      </c>
      <c r="R87" s="91">
        <f>R80-R85</f>
        <v>9.878012238876213</v>
      </c>
      <c r="S87" s="91">
        <f>S80-S85</f>
        <v>10.333547899510132</v>
      </c>
    </row>
    <row r="88" spans="1:19" x14ac:dyDescent="0.3">
      <c r="A88" s="1" t="s">
        <v>397</v>
      </c>
      <c r="B88" s="22"/>
      <c r="C88" s="22"/>
      <c r="D88" s="22"/>
      <c r="E88" s="88">
        <f>E85*E20</f>
        <v>63.996530000000014</v>
      </c>
      <c r="F88" s="88">
        <f>F85*F20</f>
        <v>161.98731420857143</v>
      </c>
      <c r="G88" s="88">
        <f>G85*G20</f>
        <v>269.90804589297466</v>
      </c>
      <c r="H88" s="88">
        <f>H85*H20</f>
        <v>364.12773471737643</v>
      </c>
      <c r="I88" s="88">
        <f>I85*I20</f>
        <v>453.01155103184072</v>
      </c>
      <c r="J88" s="88">
        <f>J85*J20</f>
        <v>529.14476565707469</v>
      </c>
      <c r="K88" s="88">
        <f>K85*K20</f>
        <v>585.98452935759246</v>
      </c>
      <c r="L88" s="88">
        <f>L85*L20</f>
        <v>635.40328053412338</v>
      </c>
      <c r="M88" s="88">
        <f>M85*M20</f>
        <v>687.41039883189239</v>
      </c>
      <c r="N88" s="88">
        <f>N85*N20</f>
        <v>728.3225367013539</v>
      </c>
      <c r="O88" s="88">
        <f>O85*O20</f>
        <v>756.81757078771568</v>
      </c>
      <c r="P88" s="88">
        <f>P85*P20</f>
        <v>794.74602237804118</v>
      </c>
      <c r="Q88" s="88">
        <f>Q85*Q20</f>
        <v>843.35746957413903</v>
      </c>
      <c r="R88" s="88">
        <f>R85*R20</f>
        <v>886.25736773991935</v>
      </c>
      <c r="S88" s="88">
        <f>S85*S20</f>
        <v>923.94564380890915</v>
      </c>
    </row>
    <row r="89" spans="1:19" x14ac:dyDescent="0.3">
      <c r="A89" s="1" t="s">
        <v>398</v>
      </c>
      <c r="B89" s="9"/>
      <c r="C89" s="9"/>
      <c r="D89" s="9"/>
      <c r="E89" s="30">
        <f>MAX(0,E78-AVERAGE(E82,E85)*E19)</f>
        <v>30364.750800000005</v>
      </c>
      <c r="F89" s="30">
        <f t="shared" ref="F89:S89" si="0">MAX(0,F78-AVERAGE(F82,F85)*F19)</f>
        <v>46881.976915200008</v>
      </c>
      <c r="G89" s="30">
        <f t="shared" si="0"/>
        <v>58136.151166448006</v>
      </c>
      <c r="H89" s="30">
        <f t="shared" si="0"/>
        <v>64700.40077092305</v>
      </c>
      <c r="I89" s="30">
        <f t="shared" si="0"/>
        <v>69171.361347654922</v>
      </c>
      <c r="J89" s="30">
        <f t="shared" si="0"/>
        <v>72945.953724192819</v>
      </c>
      <c r="K89" s="30">
        <f t="shared" si="0"/>
        <v>75633.9187398059</v>
      </c>
      <c r="L89" s="30">
        <f t="shared" si="0"/>
        <v>78069.290889100259</v>
      </c>
      <c r="M89" s="30">
        <f t="shared" si="0"/>
        <v>80846.473392599932</v>
      </c>
      <c r="N89" s="30">
        <f t="shared" si="0"/>
        <v>82883.270139117041</v>
      </c>
      <c r="O89" s="30">
        <f t="shared" si="0"/>
        <v>84228.695303595887</v>
      </c>
      <c r="P89" s="30">
        <f t="shared" si="0"/>
        <v>86426.946318559916</v>
      </c>
      <c r="Q89" s="30">
        <f t="shared" si="0"/>
        <v>89372.688675132624</v>
      </c>
      <c r="R89" s="30">
        <f t="shared" si="0"/>
        <v>91875.955318191962</v>
      </c>
      <c r="S89" s="30">
        <f t="shared" si="0"/>
        <v>94140.128447812283</v>
      </c>
    </row>
    <row r="90" spans="1:19" x14ac:dyDescent="0.3">
      <c r="A90" s="1" t="s">
        <v>399</v>
      </c>
      <c r="B90" s="9"/>
      <c r="C90" s="9"/>
      <c r="D90" s="9"/>
      <c r="E90" s="30">
        <f>AVERAGE(E82,E85)*E23</f>
        <v>98.456200000000024</v>
      </c>
      <c r="F90" s="30">
        <f>AVERAGE(F82,F85)*F23</f>
        <v>362.48251748571425</v>
      </c>
      <c r="G90" s="30">
        <f>AVERAGE(G82,G85)*G23</f>
        <v>726.44210934210435</v>
      </c>
      <c r="H90" s="30">
        <f>AVERAGE(H82,H85)*H23</f>
        <v>1119.7262728128399</v>
      </c>
      <c r="I90" s="30">
        <f>AVERAGE(I82,I85)*I23</f>
        <v>1516.6584290531464</v>
      </c>
      <c r="J90" s="30">
        <f>AVERAGE(J82,J85)*J23</f>
        <v>1915.8860292720965</v>
      </c>
      <c r="K90" s="30">
        <f>AVERAGE(K82,K85)*K23</f>
        <v>2286.4209780493757</v>
      </c>
      <c r="L90" s="30">
        <f>AVERAGE(L82,L85)*L23</f>
        <v>2633.0289085804297</v>
      </c>
      <c r="M90" s="30">
        <f>AVERAGE(M82,M85)*M23</f>
        <v>2998.5829797459496</v>
      </c>
      <c r="N90" s="30">
        <f>AVERAGE(N82,N85)*N23</f>
        <v>3373.9962565902156</v>
      </c>
      <c r="O90" s="30">
        <f>AVERAGE(O82,O85)*O23</f>
        <v>3721.2979253699614</v>
      </c>
      <c r="P90" s="30">
        <f>AVERAGE(P82,P85)*P23</f>
        <v>4088.7625110011559</v>
      </c>
      <c r="Q90" s="30">
        <f>AVERAGE(Q82,Q85)*Q23</f>
        <v>4539.664199030819</v>
      </c>
      <c r="R90" s="30">
        <f>AVERAGE(R82,R85)*R23</f>
        <v>5039.4818440045829</v>
      </c>
      <c r="S90" s="30">
        <f>AVERAGE(S82,S85)*S23</f>
        <v>5546.264210276011</v>
      </c>
    </row>
    <row r="91" spans="1:19" x14ac:dyDescent="0.3">
      <c r="A91" s="1" t="s">
        <v>400</v>
      </c>
      <c r="B91" s="9"/>
      <c r="C91" s="9"/>
      <c r="D91" s="9"/>
      <c r="E91" s="30">
        <f>AVERAGE(E82,E85)*E22/$E$24</f>
        <v>393.8248000000001</v>
      </c>
      <c r="F91" s="30">
        <f>AVERAGE(F82,F85)*F22/$E$24</f>
        <v>1364.6400658285716</v>
      </c>
      <c r="G91" s="30">
        <f>AVERAGE(G82,G85)*G22/$E$24</f>
        <v>2573.9678891567987</v>
      </c>
      <c r="H91" s="30">
        <f>AVERAGE(H82,H85)*H22/$E$24</f>
        <v>3734.1161853639946</v>
      </c>
      <c r="I91" s="30">
        <f>AVERAGE(I82,I85)*I22/$E$24</f>
        <v>4760.2015615325126</v>
      </c>
      <c r="J91" s="30">
        <f>AVERAGE(J82,J85)*J22/$E$24</f>
        <v>5659.4901961875294</v>
      </c>
      <c r="K91" s="30">
        <f>AVERAGE(K82,K85)*K22/$E$24</f>
        <v>6356.9264084730585</v>
      </c>
      <c r="L91" s="30">
        <f>AVERAGE(L82,L85)*L22/$E$24</f>
        <v>6889.816281990049</v>
      </c>
      <c r="M91" s="30">
        <f>AVERAGE(M82,M85)*M22/$E$24</f>
        <v>7384.9623206893884</v>
      </c>
      <c r="N91" s="30">
        <f>AVERAGE(N82,N85)*N22/$E$24</f>
        <v>7820.6359218733323</v>
      </c>
      <c r="O91" s="30">
        <f>AVERAGE(O82,O85)*O22/$E$24</f>
        <v>8118.2602230304346</v>
      </c>
      <c r="P91" s="30">
        <f>AVERAGE(P82,P85)*P22/$E$24</f>
        <v>8395.4213536699335</v>
      </c>
      <c r="Q91" s="30">
        <f>AVERAGE(Q82,Q85)*Q22/$E$24</f>
        <v>8772.7109052258565</v>
      </c>
      <c r="R91" s="30">
        <f>AVERAGE(R82,R85)*R22/$E$24</f>
        <v>9165.8497815340306</v>
      </c>
      <c r="S91" s="30">
        <f>AVERAGE(S82,S85)*S22/$E$24</f>
        <v>9493.9685555955475</v>
      </c>
    </row>
    <row r="92" spans="1:19" x14ac:dyDescent="0.3">
      <c r="A92" s="1" t="s">
        <v>401</v>
      </c>
      <c r="B92" s="9"/>
      <c r="C92" s="9"/>
      <c r="D92" s="9"/>
      <c r="E92" s="30">
        <f>E84*E22+E82*E22/$E$24</f>
        <v>3938.248000000001</v>
      </c>
      <c r="F92" s="30">
        <f>F84*F22+F82*F22/$E$24</f>
        <v>6841.1081142857147</v>
      </c>
      <c r="G92" s="30">
        <f>G84*G22+G82*G22/$E$24</f>
        <v>8691.7793962902688</v>
      </c>
      <c r="H92" s="30">
        <f>H84*H22+H82*H22/$E$24</f>
        <v>9229.0120191325786</v>
      </c>
      <c r="I92" s="30">
        <f>I84*I22+I82*I22/$E$24</f>
        <v>10064.067800546953</v>
      </c>
      <c r="J92" s="30">
        <f>J84*J22+J82*J22/$E$24</f>
        <v>10375.11123482091</v>
      </c>
      <c r="K92" s="30">
        <f>K84*K22+K82*K22/$E$24</f>
        <v>10144.279417810374</v>
      </c>
      <c r="L92" s="30">
        <f>L84*L22+L82*L22/$E$24</f>
        <v>10338.436382959891</v>
      </c>
      <c r="M92" s="30">
        <f>M84*M22+M82*M22/$E$24</f>
        <v>11010.900390433853</v>
      </c>
      <c r="N92" s="30">
        <f>N84*N22+N82*N22/$E$24</f>
        <v>10919.325924734085</v>
      </c>
      <c r="O92" s="30">
        <f>O84*O22+O82*O22/$E$24</f>
        <v>10637.68218281708</v>
      </c>
      <c r="P92" s="30">
        <f>P84*P22+P82*P22/$E$24</f>
        <v>11393.709177576202</v>
      </c>
      <c r="Q92" s="30">
        <f>Q84*Q22+Q82*Q22/$E$24</f>
        <v>12312.361479167637</v>
      </c>
      <c r="R92" s="30">
        <f>R84*R22+R82*R22/$E$24</f>
        <v>12464.089869005173</v>
      </c>
      <c r="S92" s="30">
        <f>S84*S22+S82*S22/$E$24</f>
        <v>12580.710079547218</v>
      </c>
    </row>
    <row r="93" spans="1:19" x14ac:dyDescent="0.3">
      <c r="A93" s="3" t="s">
        <v>402</v>
      </c>
      <c r="B93" s="9"/>
      <c r="C93" s="9"/>
      <c r="D93" s="9"/>
      <c r="E93" s="30">
        <f>E78-E89-E90-E91</f>
        <v>98.456199999999455</v>
      </c>
      <c r="F93" s="30">
        <f>F78-F89-F90-F91</f>
        <v>362.48251748571374</v>
      </c>
      <c r="G93" s="30">
        <f>G78-G89-G90-G91</f>
        <v>723.09058865310135</v>
      </c>
      <c r="H93" s="30">
        <f>H78-H89-H90-H91</f>
        <v>1104.7536797001226</v>
      </c>
      <c r="I93" s="30">
        <f>I78-I89-I90-I91</f>
        <v>1477.3005508397418</v>
      </c>
      <c r="J93" s="30">
        <f>J78-J89-J90-J91</f>
        <v>1835.7349780157929</v>
      </c>
      <c r="K93" s="30">
        <f>K78-K89-K90-K91</f>
        <v>2147.7921769294353</v>
      </c>
      <c r="L93" s="30">
        <f>L78-L89-L90-L91</f>
        <v>2416.555286114738</v>
      </c>
      <c r="M93" s="30">
        <f>M78-M89-M90-M91</f>
        <v>2680.5665746222021</v>
      </c>
      <c r="N93" s="30">
        <f>N78-N89-N90-N91</f>
        <v>2928.3836976912171</v>
      </c>
      <c r="O93" s="30">
        <f>O78-O89-O90-O91</f>
        <v>3126.3786967431333</v>
      </c>
      <c r="P93" s="30">
        <f>P78-P89-P90-P91</f>
        <v>3315.1088589014762</v>
      </c>
      <c r="Q93" s="30">
        <f>Q78-Q89-Q90-Q91</f>
        <v>3540.8485884670044</v>
      </c>
      <c r="R93" s="30">
        <f>R78-R89-R90-R91</f>
        <v>3770.0279527806015</v>
      </c>
      <c r="S93" s="30">
        <f>S78-S89-S90-S91</f>
        <v>3966.4931297226649</v>
      </c>
    </row>
    <row r="94" spans="1:19" ht="3" customHeight="1" x14ac:dyDescent="0.3"/>
    <row r="95" spans="1:19" x14ac:dyDescent="0.3">
      <c r="A95" s="5" t="s">
        <v>403</v>
      </c>
      <c r="B95" s="5"/>
      <c r="C95" s="5"/>
      <c r="D95" s="5"/>
      <c r="E95" s="5"/>
      <c r="F95" s="5"/>
      <c r="G95" s="5"/>
      <c r="H95" s="5"/>
      <c r="I95" s="5"/>
      <c r="J95" s="5"/>
      <c r="K95" s="5"/>
      <c r="L95" s="5"/>
      <c r="M95" s="5"/>
      <c r="N95" s="5"/>
      <c r="O95" s="5"/>
      <c r="P95" s="5"/>
      <c r="Q95" s="5"/>
      <c r="R95" s="5"/>
      <c r="S95" s="5"/>
    </row>
    <row r="96" spans="1:19" x14ac:dyDescent="0.3">
      <c r="A96" s="1" t="s">
        <v>404</v>
      </c>
      <c r="B96" s="22"/>
      <c r="C96" s="22"/>
      <c r="D96" s="22"/>
      <c r="E96" s="88">
        <f>E25</f>
        <v>6000</v>
      </c>
      <c r="F96" s="88">
        <f>E96*(1+F26)</f>
        <v>7200</v>
      </c>
      <c r="G96" s="88">
        <f>F96*(1+G26)</f>
        <v>8280</v>
      </c>
      <c r="H96" s="88">
        <f>G96*(1+H26)</f>
        <v>9108</v>
      </c>
      <c r="I96" s="88">
        <f>H96*(1+I26)</f>
        <v>9836.6400000000012</v>
      </c>
      <c r="J96" s="88">
        <f>I96*(1+J26)</f>
        <v>10426.838400000002</v>
      </c>
      <c r="K96" s="88">
        <f>J96*(1+K26)</f>
        <v>10948.180320000003</v>
      </c>
      <c r="L96" s="88">
        <f>K96*(1+L26)</f>
        <v>11386.107532800004</v>
      </c>
      <c r="M96" s="88">
        <f>L96*(1+M26)</f>
        <v>11784.621296448004</v>
      </c>
      <c r="N96" s="88">
        <f>M96*(1+N26)</f>
        <v>12138.159935341444</v>
      </c>
      <c r="O96" s="88">
        <f>N96*(1+O26)</f>
        <v>12502.304733401688</v>
      </c>
      <c r="P96" s="88">
        <f>O96*(1+P26)</f>
        <v>12814.862351736729</v>
      </c>
      <c r="Q96" s="88">
        <f>P96*(1+Q26)</f>
        <v>13135.233910530145</v>
      </c>
      <c r="R96" s="88">
        <f>Q96*(1+R26)</f>
        <v>13397.938588740748</v>
      </c>
      <c r="S96" s="88">
        <f>R96*(1+S26)</f>
        <v>13665.897360515562</v>
      </c>
    </row>
    <row r="97" spans="1:19" x14ac:dyDescent="0.3">
      <c r="A97" s="1" t="s">
        <v>405</v>
      </c>
      <c r="B97" s="22"/>
      <c r="C97" s="22"/>
      <c r="D97" s="22"/>
      <c r="E97" s="78">
        <f>AVERAGE(Historicals!H172,E96)</f>
        <v>5650</v>
      </c>
      <c r="F97" s="88">
        <f>AVERAGE(E96,F96)</f>
        <v>6600</v>
      </c>
      <c r="G97" s="88">
        <f>AVERAGE(F96,G96)</f>
        <v>7740</v>
      </c>
      <c r="H97" s="88">
        <f>AVERAGE(G96,H96)</f>
        <v>8694</v>
      </c>
      <c r="I97" s="88">
        <f>AVERAGE(H96,I96)</f>
        <v>9472.32</v>
      </c>
      <c r="J97" s="88">
        <f>AVERAGE(I96,J96)</f>
        <v>10131.739200000002</v>
      </c>
      <c r="K97" s="88">
        <f>AVERAGE(J96,K96)</f>
        <v>10687.509360000004</v>
      </c>
      <c r="L97" s="88">
        <f>AVERAGE(K96,L96)</f>
        <v>11167.143926400004</v>
      </c>
      <c r="M97" s="88">
        <f>AVERAGE(L96,M96)</f>
        <v>11585.364414624004</v>
      </c>
      <c r="N97" s="88">
        <f>AVERAGE(M96,N96)</f>
        <v>11961.390615894725</v>
      </c>
      <c r="O97" s="88">
        <f>AVERAGE(N96,O96)</f>
        <v>12320.232334371565</v>
      </c>
      <c r="P97" s="88">
        <f>AVERAGE(O96,P96)</f>
        <v>12658.583542569209</v>
      </c>
      <c r="Q97" s="88">
        <f>AVERAGE(P96,Q96)</f>
        <v>12975.048131133437</v>
      </c>
      <c r="R97" s="88">
        <f>AVERAGE(Q96,R96)</f>
        <v>13266.586249635446</v>
      </c>
      <c r="S97" s="88">
        <f>AVERAGE(R96,S96)</f>
        <v>13531.917974628155</v>
      </c>
    </row>
    <row r="98" spans="1:19" x14ac:dyDescent="0.3">
      <c r="A98" s="1" t="s">
        <v>406</v>
      </c>
      <c r="B98" s="69"/>
      <c r="C98" s="69"/>
      <c r="D98" s="69"/>
      <c r="E98" s="89">
        <f>E27</f>
        <v>1.5</v>
      </c>
      <c r="F98" s="89">
        <f>E98*(1+F28)</f>
        <v>1.5750000000000002</v>
      </c>
      <c r="G98" s="89">
        <f>F98*(1+G28)</f>
        <v>1.6537500000000003</v>
      </c>
      <c r="H98" s="89">
        <f>G98*(1+H28)</f>
        <v>1.7364375000000003</v>
      </c>
      <c r="I98" s="89">
        <f>H98*(1+I28)</f>
        <v>1.8232593750000003</v>
      </c>
      <c r="J98" s="89">
        <f>I98*(1+J28)</f>
        <v>1.9144223437500005</v>
      </c>
      <c r="K98" s="89">
        <f>J98*(1+K28)</f>
        <v>2.0101434609375008</v>
      </c>
      <c r="L98" s="89">
        <f>K98*(1+L28)</f>
        <v>2.1106506339843758</v>
      </c>
      <c r="M98" s="89">
        <f>L98*(1+M28)</f>
        <v>2.2161831656835949</v>
      </c>
      <c r="N98" s="89">
        <f>M98*(1+N28)</f>
        <v>2.3269923239677746</v>
      </c>
      <c r="O98" s="89">
        <f>N98*(1+O28)</f>
        <v>2.4433419401661634</v>
      </c>
      <c r="P98" s="89">
        <f>O98*(1+P28)</f>
        <v>2.5655090371744715</v>
      </c>
      <c r="Q98" s="89">
        <f>P98*(1+Q28)</f>
        <v>2.6937844890331952</v>
      </c>
      <c r="R98" s="89">
        <f>Q98*(1+R28)</f>
        <v>2.828473713484855</v>
      </c>
      <c r="S98" s="89">
        <f>R98*(1+S28)</f>
        <v>2.9698973991590978</v>
      </c>
    </row>
    <row r="99" spans="1:19" x14ac:dyDescent="0.3">
      <c r="A99" s="1" t="s">
        <v>407</v>
      </c>
      <c r="B99" s="77">
        <f>Historicals!B10</f>
        <v>95</v>
      </c>
      <c r="C99" s="77">
        <f>Historicals!C10</f>
        <v>454</v>
      </c>
      <c r="D99" s="77">
        <f>Historicals!D10</f>
        <v>1839</v>
      </c>
      <c r="E99" s="30">
        <f>E45+E97*E98*(1-E50)</f>
        <v>7389.5</v>
      </c>
      <c r="F99" s="30">
        <f>F97*F98</f>
        <v>10395.000000000002</v>
      </c>
      <c r="G99" s="30">
        <f>G97*G98</f>
        <v>12800.025000000001</v>
      </c>
      <c r="H99" s="30">
        <f>H97*H98</f>
        <v>15096.587625000002</v>
      </c>
      <c r="I99" s="30">
        <f>I97*I98</f>
        <v>17270.496243000001</v>
      </c>
      <c r="J99" s="30">
        <f>J97*J98</f>
        <v>19396.427905527758</v>
      </c>
      <c r="K99" s="30">
        <f>K97*K98</f>
        <v>21483.427053712341</v>
      </c>
      <c r="L99" s="30">
        <f>L97*L98</f>
        <v>23569.939408050941</v>
      </c>
      <c r="M99" s="30">
        <f>M97*M98</f>
        <v>25675.289583999493</v>
      </c>
      <c r="N99" s="30">
        <f>N97*N98</f>
        <v>27834.064147167195</v>
      </c>
      <c r="O99" s="30">
        <f>O97*O98</f>
        <v>30102.540375161319</v>
      </c>
      <c r="P99" s="30">
        <f>P97*P98</f>
        <v>32475.710476289343</v>
      </c>
      <c r="Q99" s="30">
        <f>Q97*Q98</f>
        <v>34951.983400106401</v>
      </c>
      <c r="R99" s="30">
        <f>R97*R98</f>
        <v>37524.190474773488</v>
      </c>
      <c r="S99" s="30">
        <f>S97*S98</f>
        <v>40188.407998482406</v>
      </c>
    </row>
    <row r="100" spans="1:19" x14ac:dyDescent="0.3">
      <c r="A100" s="3" t="s">
        <v>408</v>
      </c>
      <c r="B100" s="77">
        <f>Historicals!B25</f>
        <v>29</v>
      </c>
      <c r="C100" s="77">
        <f>Historicals!C25</f>
        <v>192</v>
      </c>
      <c r="D100" s="77">
        <f>Historicals!D25</f>
        <v>1158</v>
      </c>
      <c r="E100" s="30">
        <f>E48+(E99-E45)*E29</f>
        <v>4939.375</v>
      </c>
      <c r="F100" s="30">
        <f>F99*F29</f>
        <v>6237.0000000000009</v>
      </c>
      <c r="G100" s="30">
        <f>G99*G29</f>
        <v>7040.013750000001</v>
      </c>
      <c r="H100" s="30">
        <f>H99*H29</f>
        <v>7548.293812500001</v>
      </c>
      <c r="I100" s="30">
        <f>I99*I29</f>
        <v>7944.4282717800006</v>
      </c>
      <c r="J100" s="30">
        <f>J99*J29</f>
        <v>8146.4997203216581</v>
      </c>
      <c r="K100" s="30">
        <f>K99*K29</f>
        <v>8593.3708214849376</v>
      </c>
      <c r="L100" s="30">
        <f>L99*L29</f>
        <v>8956.5769750593572</v>
      </c>
      <c r="M100" s="30">
        <f>M99*M29</f>
        <v>9243.1042502398177</v>
      </c>
      <c r="N100" s="30">
        <f>N99*N29</f>
        <v>9741.922451508517</v>
      </c>
      <c r="O100" s="30">
        <f>O99*O29</f>
        <v>10234.86372755485</v>
      </c>
      <c r="P100" s="30">
        <f>P99*P29</f>
        <v>10716.984457175484</v>
      </c>
      <c r="Q100" s="30">
        <f>Q99*Q29</f>
        <v>11184.634688034048</v>
      </c>
      <c r="R100" s="30">
        <f>R99*R29</f>
        <v>11632.499047179781</v>
      </c>
      <c r="S100" s="30">
        <f>S99*S29</f>
        <v>12056.522399544721</v>
      </c>
    </row>
    <row r="101" spans="1:19" x14ac:dyDescent="0.3">
      <c r="A101" s="3" t="s">
        <v>409</v>
      </c>
      <c r="B101" s="30">
        <f>B99-B100</f>
        <v>66</v>
      </c>
      <c r="C101" s="30">
        <f>C99-C100</f>
        <v>262</v>
      </c>
      <c r="D101" s="30">
        <f>D99-D100</f>
        <v>681</v>
      </c>
      <c r="E101" s="30">
        <f>E99-E100</f>
        <v>2450.125</v>
      </c>
      <c r="F101" s="30">
        <f>F99-F100</f>
        <v>4158.0000000000009</v>
      </c>
      <c r="G101" s="30">
        <f>G99-G100</f>
        <v>5760.0112500000005</v>
      </c>
      <c r="H101" s="30">
        <f>H99-H100</f>
        <v>7548.293812500001</v>
      </c>
      <c r="I101" s="30">
        <f>I99-I100</f>
        <v>9326.0679712199999</v>
      </c>
      <c r="J101" s="30">
        <f>J99-J100</f>
        <v>11249.928185206099</v>
      </c>
      <c r="K101" s="30">
        <f>K99-K100</f>
        <v>12890.056232227404</v>
      </c>
      <c r="L101" s="30">
        <f>L99-L100</f>
        <v>14613.362432991584</v>
      </c>
      <c r="M101" s="30">
        <f>M99-M100</f>
        <v>16432.185333759677</v>
      </c>
      <c r="N101" s="30">
        <f>N99-N100</f>
        <v>18092.141695658676</v>
      </c>
      <c r="O101" s="30">
        <f>O99-O100</f>
        <v>19867.676647606469</v>
      </c>
      <c r="P101" s="30">
        <f>P99-P100</f>
        <v>21758.726019113859</v>
      </c>
      <c r="Q101" s="30">
        <f>Q99-Q100</f>
        <v>23767.348712072351</v>
      </c>
      <c r="R101" s="30">
        <f>R99-R100</f>
        <v>25891.691427593709</v>
      </c>
      <c r="S101" s="30">
        <f>S99-S100</f>
        <v>28131.885598937683</v>
      </c>
    </row>
    <row r="102" spans="1:19" x14ac:dyDescent="0.3">
      <c r="A102" s="1" t="s">
        <v>410</v>
      </c>
      <c r="B102" s="77">
        <f>Historicals!B12</f>
        <v>2</v>
      </c>
      <c r="C102" s="77">
        <f>Historicals!C12</f>
        <v>43</v>
      </c>
      <c r="D102" s="77">
        <f>Historicals!D12</f>
        <v>568</v>
      </c>
      <c r="E102" s="30">
        <f>E46+E51*E30</f>
        <v>10582.3608</v>
      </c>
      <c r="F102" s="30">
        <f>F65*F30</f>
        <v>16468.319616000004</v>
      </c>
      <c r="G102" s="30">
        <f>G65*G30</f>
        <v>20332.596368000002</v>
      </c>
      <c r="H102" s="30">
        <f>H65*H30</f>
        <v>23317.468979904002</v>
      </c>
      <c r="I102" s="30">
        <f>I65*I30</f>
        <v>25369.055091079681</v>
      </c>
      <c r="J102" s="30">
        <f>J65*J30</f>
        <v>26537.2764766931</v>
      </c>
      <c r="K102" s="30">
        <f>K65*K30</f>
        <v>28138.391075479278</v>
      </c>
      <c r="L102" s="30">
        <f>L65*L30</f>
        <v>29279.935745496481</v>
      </c>
      <c r="M102" s="30">
        <f>M65*M30</f>
        <v>30144.138480976475</v>
      </c>
      <c r="N102" s="30">
        <f>N65*N30</f>
        <v>31926.119448064142</v>
      </c>
      <c r="O102" s="30">
        <f>O65*O30</f>
        <v>33494.291374899025</v>
      </c>
      <c r="P102" s="30">
        <f>P65*P30</f>
        <v>34972.134409150589</v>
      </c>
      <c r="Q102" s="30">
        <f>Q65*Q30</f>
        <v>36340.443704792953</v>
      </c>
      <c r="R102" s="30">
        <f>R65*R30</f>
        <v>37580.712990911721</v>
      </c>
      <c r="S102" s="30">
        <f>S65*S30</f>
        <v>38708.134380639072</v>
      </c>
    </row>
    <row r="103" spans="1:19" x14ac:dyDescent="0.3">
      <c r="A103" s="1" t="s">
        <v>411</v>
      </c>
      <c r="B103" s="77">
        <f>Historicals!B13</f>
        <v>62</v>
      </c>
      <c r="C103" s="77">
        <f>Historicals!C13</f>
        <v>347</v>
      </c>
      <c r="D103" s="77">
        <f>Historicals!D13</f>
        <v>1412</v>
      </c>
      <c r="E103" s="30">
        <f>E47+E51*E31</f>
        <v>5597.7128000000002</v>
      </c>
      <c r="F103" s="30">
        <f>F65*F31</f>
        <v>8667.5366400000021</v>
      </c>
      <c r="G103" s="30">
        <f>G65*G31</f>
        <v>10456.763846400001</v>
      </c>
      <c r="H103" s="30">
        <f>H65*H31</f>
        <v>12012.029474496003</v>
      </c>
      <c r="I103" s="30">
        <f>I65*I31</f>
        <v>13093.70585346048</v>
      </c>
      <c r="J103" s="30">
        <f>J65*J31</f>
        <v>13726.177487944706</v>
      </c>
      <c r="K103" s="30">
        <f>K65*K31</f>
        <v>14069.195537739639</v>
      </c>
      <c r="L103" s="30">
        <f>L65*L31</f>
        <v>15182.188905072249</v>
      </c>
      <c r="M103" s="30">
        <f>M65*M31</f>
        <v>15072.069240488237</v>
      </c>
      <c r="N103" s="30">
        <f>N65*N31</f>
        <v>15963.059724032071</v>
      </c>
      <c r="O103" s="30">
        <f>O65*O31</f>
        <v>16747.145687449512</v>
      </c>
      <c r="P103" s="30">
        <f>P65*P31</f>
        <v>17486.067204575294</v>
      </c>
      <c r="Q103" s="30">
        <f>Q65*Q31</f>
        <v>18170.221852396477</v>
      </c>
      <c r="R103" s="30">
        <f>R65*R31</f>
        <v>18790.356495455861</v>
      </c>
      <c r="S103" s="30">
        <f>S65*S31</f>
        <v>19354.067190319536</v>
      </c>
    </row>
    <row r="104" spans="1:19" x14ac:dyDescent="0.3">
      <c r="A104" s="3" t="s">
        <v>412</v>
      </c>
      <c r="B104" s="36"/>
      <c r="C104" s="36"/>
      <c r="D104" s="36"/>
      <c r="E104" s="93">
        <f>E65/E97</f>
        <v>9.1314123893805323</v>
      </c>
      <c r="F104" s="93">
        <f>F65/F97</f>
        <v>13.132631272727275</v>
      </c>
      <c r="G104" s="93">
        <f>G65/G97</f>
        <v>15.011145343669252</v>
      </c>
      <c r="H104" s="93">
        <f>H65/H97</f>
        <v>16.254657673982059</v>
      </c>
      <c r="I104" s="93">
        <f>I65/I97</f>
        <v>17.278905607945678</v>
      </c>
      <c r="J104" s="93">
        <f>J65/J97</f>
        <v>18.063601542296187</v>
      </c>
      <c r="K104" s="93">
        <f>K65/K97</f>
        <v>18.80592576921914</v>
      </c>
      <c r="L104" s="93">
        <f>L65/L97</f>
        <v>19.422012858351572</v>
      </c>
      <c r="M104" s="93">
        <f>M65/M97</f>
        <v>20.014734109054704</v>
      </c>
      <c r="N104" s="93">
        <f>N65/N97</f>
        <v>20.531520297442267</v>
      </c>
      <c r="O104" s="93">
        <f>O65/O97</f>
        <v>20.91262471347487</v>
      </c>
      <c r="P104" s="93">
        <f>P65/P97</f>
        <v>21.251699894167423</v>
      </c>
      <c r="Q104" s="93">
        <f>Q65/Q97</f>
        <v>21.544573232179143</v>
      </c>
      <c r="R104" s="93">
        <f>R65/R97</f>
        <v>21.790263311358004</v>
      </c>
      <c r="S104" s="93">
        <f>S65/S97</f>
        <v>22.003893343822298</v>
      </c>
    </row>
    <row r="105" spans="1:19" ht="3" customHeight="1" x14ac:dyDescent="0.3"/>
    <row r="106" spans="1:19" x14ac:dyDescent="0.3">
      <c r="A106" s="5" t="s">
        <v>413</v>
      </c>
      <c r="B106" s="5"/>
      <c r="C106" s="5"/>
      <c r="D106" s="5"/>
      <c r="E106" s="5"/>
      <c r="F106" s="5"/>
      <c r="G106" s="5"/>
      <c r="H106" s="5"/>
      <c r="I106" s="5"/>
      <c r="J106" s="5"/>
      <c r="K106" s="5"/>
      <c r="L106" s="5"/>
      <c r="M106" s="5"/>
      <c r="N106" s="5"/>
      <c r="O106" s="5"/>
      <c r="P106" s="5"/>
      <c r="Q106" s="5"/>
      <c r="R106" s="5"/>
      <c r="S106" s="5"/>
    </row>
    <row r="107" spans="1:19" x14ac:dyDescent="0.3">
      <c r="A107" s="10" t="s">
        <v>14</v>
      </c>
      <c r="B107" s="34">
        <f>B65</f>
        <v>41</v>
      </c>
      <c r="C107" s="34">
        <f>C65</f>
        <v>386</v>
      </c>
      <c r="D107" s="34">
        <f>D65</f>
        <v>4585</v>
      </c>
      <c r="E107" s="34">
        <f>E65</f>
        <v>51592.480000000003</v>
      </c>
      <c r="F107" s="34">
        <f>F65</f>
        <v>86675.366400000014</v>
      </c>
      <c r="G107" s="34">
        <f>G65</f>
        <v>116186.26496000001</v>
      </c>
      <c r="H107" s="34">
        <f>H65</f>
        <v>141317.99381760001</v>
      </c>
      <c r="I107" s="34">
        <f>I65</f>
        <v>163671.323168256</v>
      </c>
      <c r="J107" s="34">
        <f>J65</f>
        <v>183015.69983926276</v>
      </c>
      <c r="K107" s="34">
        <f>K65</f>
        <v>200988.50768199482</v>
      </c>
      <c r="L107" s="34">
        <f>L65</f>
        <v>216888.41292960354</v>
      </c>
      <c r="M107" s="34">
        <f>M65</f>
        <v>231877.98831520363</v>
      </c>
      <c r="N107" s="34">
        <f>N65</f>
        <v>245585.534215878</v>
      </c>
      <c r="O107" s="34">
        <f>O65</f>
        <v>257648.39519153096</v>
      </c>
      <c r="P107" s="34">
        <f>P65</f>
        <v>269016.41853192757</v>
      </c>
      <c r="Q107" s="34">
        <f>Q65</f>
        <v>279541.87465225346</v>
      </c>
      <c r="R107" s="34">
        <f>R65</f>
        <v>289082.40762239782</v>
      </c>
      <c r="S107" s="34">
        <f>S65</f>
        <v>297754.87985106977</v>
      </c>
    </row>
    <row r="108" spans="1:19" x14ac:dyDescent="0.3">
      <c r="A108" s="1" t="s">
        <v>414</v>
      </c>
      <c r="B108" s="77">
        <f>Historicals!B9</f>
        <v>433</v>
      </c>
      <c r="C108" s="77">
        <f>Historicals!C9</f>
        <v>2522</v>
      </c>
      <c r="D108" s="77">
        <f>Historicals!D9</f>
        <v>7326</v>
      </c>
      <c r="E108" s="30">
        <f>E44+E51*(E89+E90)/E65</f>
        <v>29792.003452467496</v>
      </c>
      <c r="F108" s="30">
        <f>F89+F90</f>
        <v>47244.459432685726</v>
      </c>
      <c r="G108" s="30">
        <f>G89+G90</f>
        <v>58862.59327579011</v>
      </c>
      <c r="H108" s="30">
        <f>H89+H90</f>
        <v>65820.127043735891</v>
      </c>
      <c r="I108" s="30">
        <f>I89+I90</f>
        <v>70688.019776708068</v>
      </c>
      <c r="J108" s="30">
        <f>J89+J90</f>
        <v>74861.839753464912</v>
      </c>
      <c r="K108" s="30">
        <f>K89+K90</f>
        <v>77920.33971785527</v>
      </c>
      <c r="L108" s="30">
        <f>L89+L90</f>
        <v>80702.319797680684</v>
      </c>
      <c r="M108" s="30">
        <f>M89+M90</f>
        <v>83845.056372345876</v>
      </c>
      <c r="N108" s="30">
        <f>N89+N90</f>
        <v>86257.266395707251</v>
      </c>
      <c r="O108" s="30">
        <f>O89+O90</f>
        <v>87949.993228965846</v>
      </c>
      <c r="P108" s="30">
        <f>P89+P90</f>
        <v>90515.708829561074</v>
      </c>
      <c r="Q108" s="30">
        <f>Q89+Q90</f>
        <v>93912.352874163436</v>
      </c>
      <c r="R108" s="30">
        <f>R89+R90</f>
        <v>96915.43716219654</v>
      </c>
      <c r="S108" s="30">
        <f>S89+S90</f>
        <v>99686.392658088298</v>
      </c>
    </row>
    <row r="109" spans="1:19" x14ac:dyDescent="0.3">
      <c r="A109" s="1" t="s">
        <v>17</v>
      </c>
      <c r="B109" s="30">
        <f>B99</f>
        <v>95</v>
      </c>
      <c r="C109" s="30">
        <f>C99</f>
        <v>454</v>
      </c>
      <c r="D109" s="30">
        <f>D99</f>
        <v>1839</v>
      </c>
      <c r="E109" s="30">
        <f>E99</f>
        <v>7389.5</v>
      </c>
      <c r="F109" s="30">
        <f>F99</f>
        <v>10395.000000000002</v>
      </c>
      <c r="G109" s="30">
        <f>G99</f>
        <v>12800.025000000001</v>
      </c>
      <c r="H109" s="30">
        <f>H99</f>
        <v>15096.587625000002</v>
      </c>
      <c r="I109" s="30">
        <f>I99</f>
        <v>17270.496243000001</v>
      </c>
      <c r="J109" s="30">
        <f>J99</f>
        <v>19396.427905527758</v>
      </c>
      <c r="K109" s="30">
        <f>K99</f>
        <v>21483.427053712341</v>
      </c>
      <c r="L109" s="30">
        <f>L99</f>
        <v>23569.939408050941</v>
      </c>
      <c r="M109" s="30">
        <f>M99</f>
        <v>25675.289583999493</v>
      </c>
      <c r="N109" s="30">
        <f>N99</f>
        <v>27834.064147167195</v>
      </c>
      <c r="O109" s="30">
        <f>O99</f>
        <v>30102.540375161319</v>
      </c>
      <c r="P109" s="30">
        <f>P99</f>
        <v>32475.710476289343</v>
      </c>
      <c r="Q109" s="30">
        <f>Q99</f>
        <v>34951.983400106401</v>
      </c>
      <c r="R109" s="30">
        <f>R99</f>
        <v>37524.190474773488</v>
      </c>
      <c r="S109" s="30">
        <f>S99</f>
        <v>40188.407998482406</v>
      </c>
    </row>
    <row r="110" spans="1:19" x14ac:dyDescent="0.3">
      <c r="A110" s="1" t="s">
        <v>415</v>
      </c>
      <c r="B110" s="30">
        <f>B102</f>
        <v>2</v>
      </c>
      <c r="C110" s="30">
        <f>C102</f>
        <v>43</v>
      </c>
      <c r="D110" s="30">
        <f>D102</f>
        <v>568</v>
      </c>
      <c r="E110" s="30">
        <f>E102</f>
        <v>10582.3608</v>
      </c>
      <c r="F110" s="30">
        <f>F102</f>
        <v>16468.319616000004</v>
      </c>
      <c r="G110" s="30">
        <f>G102</f>
        <v>20332.596368000002</v>
      </c>
      <c r="H110" s="30">
        <f>H102</f>
        <v>23317.468979904002</v>
      </c>
      <c r="I110" s="30">
        <f>I102</f>
        <v>25369.055091079681</v>
      </c>
      <c r="J110" s="30">
        <f>J102</f>
        <v>26537.2764766931</v>
      </c>
      <c r="K110" s="30">
        <f>K102</f>
        <v>28138.391075479278</v>
      </c>
      <c r="L110" s="30">
        <f>L102</f>
        <v>29279.935745496481</v>
      </c>
      <c r="M110" s="30">
        <f>M102</f>
        <v>30144.138480976475</v>
      </c>
      <c r="N110" s="30">
        <f>N102</f>
        <v>31926.119448064142</v>
      </c>
      <c r="O110" s="30">
        <f>O102</f>
        <v>33494.291374899025</v>
      </c>
      <c r="P110" s="30">
        <f>P102</f>
        <v>34972.134409150589</v>
      </c>
      <c r="Q110" s="30">
        <f>Q102</f>
        <v>36340.443704792953</v>
      </c>
      <c r="R110" s="30">
        <f>R102</f>
        <v>37580.712990911721</v>
      </c>
      <c r="S110" s="30">
        <f>S102</f>
        <v>38708.134380639072</v>
      </c>
    </row>
    <row r="111" spans="1:19" x14ac:dyDescent="0.3">
      <c r="A111" s="1" t="s">
        <v>416</v>
      </c>
      <c r="B111" s="30">
        <f>B103</f>
        <v>62</v>
      </c>
      <c r="C111" s="30">
        <f>C103</f>
        <v>347</v>
      </c>
      <c r="D111" s="30">
        <f>D103</f>
        <v>1412</v>
      </c>
      <c r="E111" s="30">
        <f>E103</f>
        <v>5597.7128000000002</v>
      </c>
      <c r="F111" s="30">
        <f>F103</f>
        <v>8667.5366400000021</v>
      </c>
      <c r="G111" s="30">
        <f>G103</f>
        <v>10456.763846400001</v>
      </c>
      <c r="H111" s="30">
        <f>H103</f>
        <v>12012.029474496003</v>
      </c>
      <c r="I111" s="30">
        <f>I103</f>
        <v>13093.70585346048</v>
      </c>
      <c r="J111" s="30">
        <f>J103</f>
        <v>13726.177487944706</v>
      </c>
      <c r="K111" s="30">
        <f>K103</f>
        <v>14069.195537739639</v>
      </c>
      <c r="L111" s="30">
        <f>L103</f>
        <v>15182.188905072249</v>
      </c>
      <c r="M111" s="30">
        <f>M103</f>
        <v>15072.069240488237</v>
      </c>
      <c r="N111" s="30">
        <f>N103</f>
        <v>15963.059724032071</v>
      </c>
      <c r="O111" s="30">
        <f>O103</f>
        <v>16747.145687449512</v>
      </c>
      <c r="P111" s="30">
        <f>P103</f>
        <v>17486.067204575294</v>
      </c>
      <c r="Q111" s="30">
        <f>Q103</f>
        <v>18170.221852396477</v>
      </c>
      <c r="R111" s="30">
        <f>R103</f>
        <v>18790.356495455861</v>
      </c>
      <c r="S111" s="30">
        <f>S103</f>
        <v>19354.067190319536</v>
      </c>
    </row>
    <row r="112" spans="1:19" x14ac:dyDescent="0.3">
      <c r="A112" s="1" t="s">
        <v>417</v>
      </c>
      <c r="B112" s="77">
        <f>Historicals!B11</f>
        <v>0</v>
      </c>
      <c r="C112" s="77">
        <f>Historicals!C11</f>
        <v>0</v>
      </c>
      <c r="D112" s="77">
        <f>Historicals!D11</f>
        <v>1500</v>
      </c>
      <c r="E112" s="30">
        <f>0</f>
        <v>0</v>
      </c>
      <c r="F112" s="30">
        <f>0</f>
        <v>0</v>
      </c>
      <c r="G112" s="30">
        <f>0</f>
        <v>0</v>
      </c>
      <c r="H112" s="30">
        <f>0</f>
        <v>0</v>
      </c>
      <c r="I112" s="30">
        <f>0</f>
        <v>0</v>
      </c>
      <c r="J112" s="30">
        <f>0</f>
        <v>0</v>
      </c>
      <c r="K112" s="30">
        <f>0</f>
        <v>0</v>
      </c>
      <c r="L112" s="30">
        <f>0</f>
        <v>0</v>
      </c>
      <c r="M112" s="30">
        <f>0</f>
        <v>0</v>
      </c>
      <c r="N112" s="30">
        <f>0</f>
        <v>0</v>
      </c>
      <c r="O112" s="30">
        <f>0</f>
        <v>0</v>
      </c>
      <c r="P112" s="30">
        <f>0</f>
        <v>0</v>
      </c>
      <c r="Q112" s="30">
        <f>0</f>
        <v>0</v>
      </c>
      <c r="R112" s="30">
        <f>0</f>
        <v>0</v>
      </c>
      <c r="S112" s="30">
        <f>0</f>
        <v>0</v>
      </c>
    </row>
    <row r="113" spans="1:19" x14ac:dyDescent="0.3">
      <c r="A113" s="1" t="s">
        <v>21</v>
      </c>
      <c r="B113" s="30">
        <f>SUM(B108:B112)</f>
        <v>592</v>
      </c>
      <c r="C113" s="30">
        <f>SUM(C108:C112)</f>
        <v>3366</v>
      </c>
      <c r="D113" s="30">
        <f>SUM(D108:D112)</f>
        <v>12645</v>
      </c>
      <c r="E113" s="30">
        <f>SUM(E108:E112)</f>
        <v>53361.577052467503</v>
      </c>
      <c r="F113" s="30">
        <f>SUM(F108:F112)</f>
        <v>82775.315688685732</v>
      </c>
      <c r="G113" s="30">
        <f>SUM(G108:G112)</f>
        <v>102451.97849019011</v>
      </c>
      <c r="H113" s="30">
        <f>SUM(H108:H112)</f>
        <v>116246.21312313589</v>
      </c>
      <c r="I113" s="30">
        <f>SUM(I108:I112)</f>
        <v>126421.27696424822</v>
      </c>
      <c r="J113" s="30">
        <f>SUM(J108:J112)</f>
        <v>134521.7216236305</v>
      </c>
      <c r="K113" s="30">
        <f>SUM(K108:K112)</f>
        <v>141611.35338478652</v>
      </c>
      <c r="L113" s="30">
        <f>SUM(L108:L112)</f>
        <v>148734.38385630035</v>
      </c>
      <c r="M113" s="30">
        <f>SUM(M108:M112)</f>
        <v>154736.55367781006</v>
      </c>
      <c r="N113" s="30">
        <f>SUM(N108:N112)</f>
        <v>161980.50971497066</v>
      </c>
      <c r="O113" s="30">
        <f>SUM(O108:O112)</f>
        <v>168293.97066647571</v>
      </c>
      <c r="P113" s="30">
        <f>SUM(P108:P112)</f>
        <v>175449.62091957629</v>
      </c>
      <c r="Q113" s="30">
        <f>SUM(Q108:Q112)</f>
        <v>183375.00183145926</v>
      </c>
      <c r="R113" s="30">
        <f>SUM(R108:R112)</f>
        <v>190810.69712333762</v>
      </c>
      <c r="S113" s="30">
        <f>SUM(S108:S112)</f>
        <v>197937.0022275293</v>
      </c>
    </row>
    <row r="114" spans="1:19" x14ac:dyDescent="0.3">
      <c r="A114" s="10" t="s">
        <v>418</v>
      </c>
      <c r="B114" s="87">
        <f>Historicals!B15+Historicals!B26</f>
        <v>-548</v>
      </c>
      <c r="C114" s="87">
        <f>Historicals!C15+Historicals!C26</f>
        <v>-2959</v>
      </c>
      <c r="D114" s="87">
        <f>Historicals!D15+Historicals!D26</f>
        <v>-8020</v>
      </c>
      <c r="E114" s="34">
        <f>E107-E113+E49</f>
        <v>-1672.0970524674995</v>
      </c>
      <c r="F114" s="34">
        <f>F107-F113</f>
        <v>3900.0507113142812</v>
      </c>
      <c r="G114" s="34">
        <f>G107-G113</f>
        <v>13734.2864698099</v>
      </c>
      <c r="H114" s="34">
        <f>H107-H113</f>
        <v>25071.78069446412</v>
      </c>
      <c r="I114" s="34">
        <f>I107-I113</f>
        <v>37250.046204007784</v>
      </c>
      <c r="J114" s="34">
        <f>J107-J113</f>
        <v>48493.978215632262</v>
      </c>
      <c r="K114" s="34">
        <f>K107-K113</f>
        <v>59377.154297208297</v>
      </c>
      <c r="L114" s="34">
        <f>L107-L113</f>
        <v>68154.029073303187</v>
      </c>
      <c r="M114" s="34">
        <f>M107-M113</f>
        <v>77141.43463739357</v>
      </c>
      <c r="N114" s="34">
        <f>N107-N113</f>
        <v>83605.024500907341</v>
      </c>
      <c r="O114" s="34">
        <f>O107-O113</f>
        <v>89354.424525055249</v>
      </c>
      <c r="P114" s="34">
        <f>P107-P113</f>
        <v>93566.797612351278</v>
      </c>
      <c r="Q114" s="34">
        <f>Q107-Q113</f>
        <v>96166.872820794204</v>
      </c>
      <c r="R114" s="34">
        <f>R107-R113</f>
        <v>98271.710499060195</v>
      </c>
      <c r="S114" s="34">
        <f>S107-S113</f>
        <v>99817.877623540466</v>
      </c>
    </row>
    <row r="115" spans="1:19" x14ac:dyDescent="0.3">
      <c r="A115" s="3" t="s">
        <v>419</v>
      </c>
      <c r="B115" s="31">
        <f>B114/B65</f>
        <v>-13.365853658536585</v>
      </c>
      <c r="C115" s="31">
        <f>C114/C65</f>
        <v>-7.6658031088082899</v>
      </c>
      <c r="D115" s="31">
        <f>D114/D65</f>
        <v>-1.7491821155943292</v>
      </c>
      <c r="E115" s="31">
        <f>E114/E65</f>
        <v>-3.2409704911791397E-2</v>
      </c>
      <c r="F115" s="31">
        <f>F114/F65</f>
        <v>4.4996068355983097E-2</v>
      </c>
      <c r="G115" s="31">
        <f>G114/G65</f>
        <v>0.11820920893307196</v>
      </c>
      <c r="H115" s="31">
        <f>H114/H65</f>
        <v>0.17741393022338273</v>
      </c>
      <c r="I115" s="31">
        <f>I114/I65</f>
        <v>0.22759054844149032</v>
      </c>
      <c r="J115" s="31">
        <f>J114/J65</f>
        <v>0.26497168416820566</v>
      </c>
      <c r="K115" s="31">
        <f>K114/K65</f>
        <v>0.29542561901676079</v>
      </c>
      <c r="L115" s="31">
        <f>L114/L65</f>
        <v>0.31423545477933967</v>
      </c>
      <c r="M115" s="31">
        <f>M114/M65</f>
        <v>0.33268114493270168</v>
      </c>
      <c r="N115" s="31">
        <f>N114/N65</f>
        <v>0.34043138887576208</v>
      </c>
      <c r="O115" s="31">
        <f>O114/O65</f>
        <v>0.34680761142964178</v>
      </c>
      <c r="P115" s="31">
        <f>P114/P65</f>
        <v>0.34781073260495632</v>
      </c>
      <c r="Q115" s="31">
        <f>Q114/Q65</f>
        <v>0.34401598308097692</v>
      </c>
      <c r="R115" s="31">
        <f>R114/R65</f>
        <v>0.33994358670010677</v>
      </c>
      <c r="S115" s="31">
        <f>S114/S65</f>
        <v>0.33523506877021497</v>
      </c>
    </row>
    <row r="116" spans="1:19" x14ac:dyDescent="0.3">
      <c r="A116" s="1" t="s">
        <v>420</v>
      </c>
      <c r="B116" s="30">
        <f>B114+B100+B112</f>
        <v>-519</v>
      </c>
      <c r="C116" s="30">
        <f>C114+C100+C112</f>
        <v>-2767</v>
      </c>
      <c r="D116" s="30">
        <f>D114+D100+D112</f>
        <v>-5362</v>
      </c>
      <c r="E116" s="30">
        <f>E114+E100+E112</f>
        <v>3267.2779475325005</v>
      </c>
      <c r="F116" s="30">
        <f>F114+F100+F112</f>
        <v>10137.050711314281</v>
      </c>
      <c r="G116" s="30">
        <f>G114+G100+G112</f>
        <v>20774.300219809902</v>
      </c>
      <c r="H116" s="30">
        <f>H114+H100+H112</f>
        <v>32620.07450696412</v>
      </c>
      <c r="I116" s="30">
        <f>I114+I100+I112</f>
        <v>45194.474475787785</v>
      </c>
      <c r="J116" s="30">
        <f>J114+J100+J112</f>
        <v>56640.477935953917</v>
      </c>
      <c r="K116" s="30">
        <f>K114+K100+K112</f>
        <v>67970.525118693229</v>
      </c>
      <c r="L116" s="30">
        <f>L114+L100+L112</f>
        <v>77110.606048362548</v>
      </c>
      <c r="M116" s="30">
        <f>M114+M100+M112</f>
        <v>86384.538887633389</v>
      </c>
      <c r="N116" s="30">
        <f>N114+N100+N112</f>
        <v>93346.946952415863</v>
      </c>
      <c r="O116" s="30">
        <f>O114+O100+O112</f>
        <v>99589.288252610102</v>
      </c>
      <c r="P116" s="30">
        <f>P114+P100+P112</f>
        <v>104283.78206952676</v>
      </c>
      <c r="Q116" s="30">
        <f>Q114+Q100+Q112</f>
        <v>107351.50750882825</v>
      </c>
      <c r="R116" s="30">
        <f>R114+R100+R112</f>
        <v>109904.20954623997</v>
      </c>
      <c r="S116" s="30">
        <f>S114+S100+S112</f>
        <v>111874.40002308518</v>
      </c>
    </row>
    <row r="117" spans="1:19" x14ac:dyDescent="0.3">
      <c r="A117" s="3" t="s">
        <v>421</v>
      </c>
      <c r="B117" s="31">
        <f>B116/B65</f>
        <v>-12.658536585365853</v>
      </c>
      <c r="C117" s="31">
        <f>C116/C65</f>
        <v>-7.1683937823834194</v>
      </c>
      <c r="D117" s="31">
        <f>D116/D65</f>
        <v>-1.1694656488549617</v>
      </c>
      <c r="E117" s="31">
        <f>E116/E65</f>
        <v>6.3328569348333336E-2</v>
      </c>
      <c r="F117" s="31">
        <f>F116/F65</f>
        <v>0.11695422970042708</v>
      </c>
      <c r="G117" s="31">
        <f>G116/G65</f>
        <v>0.1788016873333691</v>
      </c>
      <c r="H117" s="31">
        <f>H116/H65</f>
        <v>0.23082746666406154</v>
      </c>
      <c r="I117" s="31">
        <f>I116/I65</f>
        <v>0.27612946239413821</v>
      </c>
      <c r="J117" s="31">
        <f>J116/J65</f>
        <v>0.30948425728338913</v>
      </c>
      <c r="K117" s="31">
        <f>K116/K65</f>
        <v>0.33818115225889728</v>
      </c>
      <c r="L117" s="31">
        <f>L116/L65</f>
        <v>0.3555312384225463</v>
      </c>
      <c r="M117" s="31">
        <f>M116/M65</f>
        <v>0.37254307541346465</v>
      </c>
      <c r="N117" s="31">
        <f>N116/N65</f>
        <v>0.3800995333477612</v>
      </c>
      <c r="O117" s="31">
        <f>O116/O65</f>
        <v>0.38653176232119474</v>
      </c>
      <c r="P117" s="31">
        <f>P116/P65</f>
        <v>0.38764839201496576</v>
      </c>
      <c r="Q117" s="31">
        <f>Q116/Q65</f>
        <v>0.38402657076823338</v>
      </c>
      <c r="R117" s="31">
        <f>R116/R65</f>
        <v>0.38018297429499026</v>
      </c>
      <c r="S117" s="31">
        <f>S116/S65</f>
        <v>0.37572650389153056</v>
      </c>
    </row>
    <row r="118" spans="1:19" x14ac:dyDescent="0.3">
      <c r="A118" s="1" t="s">
        <v>422</v>
      </c>
      <c r="B118" s="77">
        <f>Historicals!B26</f>
        <v>3</v>
      </c>
      <c r="C118" s="77">
        <f>Historicals!C26</f>
        <v>21</v>
      </c>
      <c r="D118" s="77">
        <f>Historicals!D26</f>
        <v>40</v>
      </c>
      <c r="E118" s="30">
        <f>E91+E65*E33</f>
        <v>651.7872000000001</v>
      </c>
      <c r="F118" s="30">
        <f>F91+F65*F33</f>
        <v>1798.0168978285717</v>
      </c>
      <c r="G118" s="30">
        <f>G91+G65*G33</f>
        <v>3154.899213956799</v>
      </c>
      <c r="H118" s="30">
        <f>H91+H65*H33</f>
        <v>4440.7061544519947</v>
      </c>
      <c r="I118" s="30">
        <f>I91+I65*I33</f>
        <v>5578.5581773737922</v>
      </c>
      <c r="J118" s="30">
        <f>J91+J65*J33</f>
        <v>6574.5686953838431</v>
      </c>
      <c r="K118" s="30">
        <f>K91+K65*K33</f>
        <v>7361.8689468830325</v>
      </c>
      <c r="L118" s="30">
        <f>L91+L65*L33</f>
        <v>7974.2583466380665</v>
      </c>
      <c r="M118" s="30">
        <f>M91+M65*M33</f>
        <v>8544.3522622654073</v>
      </c>
      <c r="N118" s="30">
        <f>N91+N65*N33</f>
        <v>9048.5635929527216</v>
      </c>
      <c r="O118" s="30">
        <f>O91+O65*O33</f>
        <v>9406.5021989880897</v>
      </c>
      <c r="P118" s="30">
        <f>P91+P65*P33</f>
        <v>9740.5034463295706</v>
      </c>
      <c r="Q118" s="30">
        <f>Q91+Q65*Q33</f>
        <v>10170.420278487123</v>
      </c>
      <c r="R118" s="30">
        <f>R91+R65*R33</f>
        <v>10611.261819646021</v>
      </c>
      <c r="S118" s="30">
        <f>S91+S65*S33</f>
        <v>10982.742954850897</v>
      </c>
    </row>
    <row r="119" spans="1:19" x14ac:dyDescent="0.3">
      <c r="A119" s="10" t="s">
        <v>423</v>
      </c>
      <c r="B119" s="34">
        <f>B114-B118</f>
        <v>-551</v>
      </c>
      <c r="C119" s="34">
        <f>C114-C118</f>
        <v>-2980</v>
      </c>
      <c r="D119" s="34">
        <f>D114-D118</f>
        <v>-8060</v>
      </c>
      <c r="E119" s="34">
        <f>E114-E118</f>
        <v>-2323.8842524674997</v>
      </c>
      <c r="F119" s="34">
        <f>F114-F118</f>
        <v>2102.0338134857093</v>
      </c>
      <c r="G119" s="34">
        <f>G114-G118</f>
        <v>10579.3872558531</v>
      </c>
      <c r="H119" s="34">
        <f>H114-H118</f>
        <v>20631.074540012123</v>
      </c>
      <c r="I119" s="34">
        <f>I114-I118</f>
        <v>31671.48802663399</v>
      </c>
      <c r="J119" s="34">
        <f>J114-J118</f>
        <v>41919.409520248417</v>
      </c>
      <c r="K119" s="34">
        <f>K114-K118</f>
        <v>52015.285350325263</v>
      </c>
      <c r="L119" s="34">
        <f>L114-L118</f>
        <v>60179.77072666512</v>
      </c>
      <c r="M119" s="34">
        <f>M114-M118</f>
        <v>68597.082375128157</v>
      </c>
      <c r="N119" s="34">
        <f>N114-N118</f>
        <v>74556.460907954621</v>
      </c>
      <c r="O119" s="34">
        <f>O114-O118</f>
        <v>79947.922326067157</v>
      </c>
      <c r="P119" s="34">
        <f>P114-P118</f>
        <v>83826.294166021704</v>
      </c>
      <c r="Q119" s="34">
        <f>Q114-Q118</f>
        <v>85996.452542307088</v>
      </c>
      <c r="R119" s="34">
        <f>R114-R118</f>
        <v>87660.44867941417</v>
      </c>
      <c r="S119" s="34">
        <f>S114-S118</f>
        <v>88835.13466868957</v>
      </c>
    </row>
    <row r="120" spans="1:19" x14ac:dyDescent="0.3">
      <c r="A120" s="3" t="s">
        <v>424</v>
      </c>
      <c r="B120" s="31">
        <f>B119/B65</f>
        <v>-13.439024390243903</v>
      </c>
      <c r="C120" s="31">
        <f>C119/C65</f>
        <v>-7.7202072538860103</v>
      </c>
      <c r="D120" s="31">
        <f>D119/D65</f>
        <v>-1.7579062159214831</v>
      </c>
      <c r="E120" s="31">
        <f>E119/E65</f>
        <v>-4.504308093868524E-2</v>
      </c>
      <c r="F120" s="31">
        <f>F119/F65</f>
        <v>2.4251801876267683E-2</v>
      </c>
      <c r="G120" s="31">
        <f>G119/G65</f>
        <v>9.1055403661485415E-2</v>
      </c>
      <c r="H120" s="31">
        <f>H119/H65</f>
        <v>0.14599042897991302</v>
      </c>
      <c r="I120" s="31">
        <f>I119/I65</f>
        <v>0.19350664131966072</v>
      </c>
      <c r="J120" s="31">
        <f>J119/J65</f>
        <v>0.2290481612072898</v>
      </c>
      <c r="K120" s="31">
        <f>K119/K65</f>
        <v>0.25879731110111104</v>
      </c>
      <c r="L120" s="31">
        <f>L119/L65</f>
        <v>0.27746881409565177</v>
      </c>
      <c r="M120" s="31">
        <f>M119/M65</f>
        <v>0.29583266127822633</v>
      </c>
      <c r="N120" s="31">
        <f>N119/N65</f>
        <v>0.30358653308308042</v>
      </c>
      <c r="O120" s="31">
        <f>O119/O65</f>
        <v>0.31029854568523657</v>
      </c>
      <c r="P120" s="31">
        <f>P119/P65</f>
        <v>0.31160289257985563</v>
      </c>
      <c r="Q120" s="31">
        <f>Q119/Q65</f>
        <v>0.30763352592267468</v>
      </c>
      <c r="R120" s="31">
        <f>R119/R65</f>
        <v>0.30323688459768566</v>
      </c>
      <c r="S120" s="31">
        <f>S119/S65</f>
        <v>0.29834988670252149</v>
      </c>
    </row>
    <row r="121" spans="1:19" x14ac:dyDescent="0.3">
      <c r="A121" s="3" t="s">
        <v>425</v>
      </c>
      <c r="B121" s="94">
        <f>B119-Historicals!B15</f>
        <v>0</v>
      </c>
      <c r="C121" s="94">
        <f>C119-Historicals!C15</f>
        <v>0</v>
      </c>
      <c r="D121" s="94">
        <f>D119-Historicals!D15</f>
        <v>0</v>
      </c>
      <c r="E121" s="95"/>
      <c r="F121" s="95"/>
      <c r="G121" s="95"/>
      <c r="H121" s="95"/>
      <c r="I121" s="95"/>
      <c r="J121" s="95"/>
      <c r="K121" s="95"/>
      <c r="L121" s="95"/>
      <c r="M121" s="95"/>
      <c r="N121" s="95"/>
      <c r="O121" s="95"/>
      <c r="P121" s="95"/>
      <c r="Q121" s="95"/>
      <c r="R121" s="95"/>
      <c r="S121" s="95"/>
    </row>
    <row r="122" spans="1:19" ht="3" customHeight="1" x14ac:dyDescent="0.3"/>
    <row r="123" spans="1:19" x14ac:dyDescent="0.3">
      <c r="A123" s="5" t="s">
        <v>426</v>
      </c>
      <c r="B123" s="5"/>
      <c r="C123" s="5"/>
      <c r="D123" s="5"/>
      <c r="E123" s="5"/>
      <c r="F123" s="5"/>
      <c r="G123" s="5"/>
      <c r="H123" s="5"/>
      <c r="I123" s="5"/>
      <c r="J123" s="5"/>
      <c r="K123" s="5"/>
      <c r="L123" s="5"/>
      <c r="M123" s="5"/>
      <c r="N123" s="5"/>
      <c r="O123" s="5"/>
      <c r="P123" s="5"/>
      <c r="Q123" s="5"/>
      <c r="R123" s="5"/>
      <c r="S123" s="5"/>
    </row>
    <row r="124" spans="1:19" x14ac:dyDescent="0.3">
      <c r="A124" s="1" t="s">
        <v>427</v>
      </c>
      <c r="B124" s="9"/>
      <c r="C124" s="9"/>
      <c r="D124" s="9"/>
      <c r="E124" s="77">
        <f>Historicals!C160</f>
        <v>8200</v>
      </c>
      <c r="F124" s="30">
        <f>E127</f>
        <v>10523.8842524675</v>
      </c>
      <c r="G124" s="30">
        <f>F127</f>
        <v>8842.2572016789327</v>
      </c>
      <c r="H124" s="30">
        <f>G127</f>
        <v>378.74739699645215</v>
      </c>
      <c r="I124" s="30">
        <f>H127</f>
        <v>0</v>
      </c>
      <c r="J124" s="30">
        <f>I127</f>
        <v>0</v>
      </c>
      <c r="K124" s="30">
        <f>J127</f>
        <v>0</v>
      </c>
      <c r="L124" s="30">
        <f>K127</f>
        <v>0</v>
      </c>
      <c r="M124" s="30">
        <f>L127</f>
        <v>0</v>
      </c>
      <c r="N124" s="30">
        <f>M127</f>
        <v>0</v>
      </c>
      <c r="O124" s="30">
        <f>N127</f>
        <v>0</v>
      </c>
      <c r="P124" s="30">
        <f>O127</f>
        <v>0</v>
      </c>
      <c r="Q124" s="30">
        <f>P127</f>
        <v>0</v>
      </c>
      <c r="R124" s="30">
        <f>Q127</f>
        <v>0</v>
      </c>
      <c r="S124" s="30">
        <f>R127</f>
        <v>0</v>
      </c>
    </row>
    <row r="125" spans="1:19" x14ac:dyDescent="0.3">
      <c r="A125" s="1" t="s">
        <v>428</v>
      </c>
      <c r="B125" s="9"/>
      <c r="C125" s="9"/>
      <c r="D125" s="9"/>
      <c r="E125" s="30">
        <f>MIN(E124,MAX(E119,0)*0.8)</f>
        <v>0</v>
      </c>
      <c r="F125" s="30">
        <f>MIN(F124,MAX(F119,0)*0.8)</f>
        <v>1681.6270507885674</v>
      </c>
      <c r="G125" s="30">
        <f>MIN(G124,MAX(G119,0)*0.8)</f>
        <v>8463.5098046824805</v>
      </c>
      <c r="H125" s="30">
        <f>MIN(H124,MAX(H119,0)*0.8)</f>
        <v>378.74739699645215</v>
      </c>
      <c r="I125" s="30">
        <f>MIN(I124,MAX(I119,0)*0.8)</f>
        <v>0</v>
      </c>
      <c r="J125" s="30">
        <f>MIN(J124,MAX(J119,0)*0.8)</f>
        <v>0</v>
      </c>
      <c r="K125" s="30">
        <f>MIN(K124,MAX(K119,0)*0.8)</f>
        <v>0</v>
      </c>
      <c r="L125" s="30">
        <f>MIN(L124,MAX(L119,0)*0.8)</f>
        <v>0</v>
      </c>
      <c r="M125" s="30">
        <f>MIN(M124,MAX(M119,0)*0.8)</f>
        <v>0</v>
      </c>
      <c r="N125" s="30">
        <f>MIN(N124,MAX(N119,0)*0.8)</f>
        <v>0</v>
      </c>
      <c r="O125" s="30">
        <f>MIN(O124,MAX(O119,0)*0.8)</f>
        <v>0</v>
      </c>
      <c r="P125" s="30">
        <f>MIN(P124,MAX(P119,0)*0.8)</f>
        <v>0</v>
      </c>
      <c r="Q125" s="30">
        <f>MIN(Q124,MAX(Q119,0)*0.8)</f>
        <v>0</v>
      </c>
      <c r="R125" s="30">
        <f>MIN(R124,MAX(R119,0)*0.8)</f>
        <v>0</v>
      </c>
      <c r="S125" s="30">
        <f>MIN(S124,MAX(S119,0)*0.8)</f>
        <v>0</v>
      </c>
    </row>
    <row r="126" spans="1:19" x14ac:dyDescent="0.3">
      <c r="A126" s="1" t="s">
        <v>429</v>
      </c>
      <c r="B126" s="9"/>
      <c r="C126" s="9"/>
      <c r="D126" s="9"/>
      <c r="E126" s="30">
        <f>MAX(-E119,0)</f>
        <v>2323.8842524674997</v>
      </c>
      <c r="F126" s="30">
        <f>MAX(-F119,0)</f>
        <v>0</v>
      </c>
      <c r="G126" s="30">
        <f>MAX(-G119,0)</f>
        <v>0</v>
      </c>
      <c r="H126" s="30">
        <f>MAX(-H119,0)</f>
        <v>0</v>
      </c>
      <c r="I126" s="30">
        <f>MAX(-I119,0)</f>
        <v>0</v>
      </c>
      <c r="J126" s="30">
        <f>MAX(-J119,0)</f>
        <v>0</v>
      </c>
      <c r="K126" s="30">
        <f>MAX(-K119,0)</f>
        <v>0</v>
      </c>
      <c r="L126" s="30">
        <f>MAX(-L119,0)</f>
        <v>0</v>
      </c>
      <c r="M126" s="30">
        <f>MAX(-M119,0)</f>
        <v>0</v>
      </c>
      <c r="N126" s="30">
        <f>MAX(-N119,0)</f>
        <v>0</v>
      </c>
      <c r="O126" s="30">
        <f>MAX(-O119,0)</f>
        <v>0</v>
      </c>
      <c r="P126" s="30">
        <f>MAX(-P119,0)</f>
        <v>0</v>
      </c>
      <c r="Q126" s="30">
        <f>MAX(-Q119,0)</f>
        <v>0</v>
      </c>
      <c r="R126" s="30">
        <f>MAX(-R119,0)</f>
        <v>0</v>
      </c>
      <c r="S126" s="30">
        <f>MAX(-S119,0)</f>
        <v>0</v>
      </c>
    </row>
    <row r="127" spans="1:19" x14ac:dyDescent="0.3">
      <c r="A127" s="1" t="s">
        <v>430</v>
      </c>
      <c r="B127" s="9"/>
      <c r="C127" s="9"/>
      <c r="D127" s="9"/>
      <c r="E127" s="30">
        <f>E124-E125+E126</f>
        <v>10523.8842524675</v>
      </c>
      <c r="F127" s="30">
        <f>F124-F125+F126</f>
        <v>8842.2572016789327</v>
      </c>
      <c r="G127" s="30">
        <f>G124-G125+G126</f>
        <v>378.74739699645215</v>
      </c>
      <c r="H127" s="30">
        <f>H124-H125+H126</f>
        <v>0</v>
      </c>
      <c r="I127" s="30">
        <f>I124-I125+I126</f>
        <v>0</v>
      </c>
      <c r="J127" s="30">
        <f>J124-J125+J126</f>
        <v>0</v>
      </c>
      <c r="K127" s="30">
        <f>K124-K125+K126</f>
        <v>0</v>
      </c>
      <c r="L127" s="30">
        <f>L124-L125+L126</f>
        <v>0</v>
      </c>
      <c r="M127" s="30">
        <f>M124-M125+M126</f>
        <v>0</v>
      </c>
      <c r="N127" s="30">
        <f>N124-N125+N126</f>
        <v>0</v>
      </c>
      <c r="O127" s="30">
        <f>O124-O125+O126</f>
        <v>0</v>
      </c>
      <c r="P127" s="30">
        <f>P124-P125+P126</f>
        <v>0</v>
      </c>
      <c r="Q127" s="30">
        <f>Q124-Q125+Q126</f>
        <v>0</v>
      </c>
      <c r="R127" s="30">
        <f>R124-R125+R126</f>
        <v>0</v>
      </c>
      <c r="S127" s="30">
        <f>S124-S125+S126</f>
        <v>0</v>
      </c>
    </row>
    <row r="128" spans="1:19" x14ac:dyDescent="0.3">
      <c r="A128" s="1" t="s">
        <v>431</v>
      </c>
      <c r="B128" s="9"/>
      <c r="C128" s="9"/>
      <c r="D128" s="9"/>
      <c r="E128" s="30">
        <f>MAX(E119,0)-E125</f>
        <v>0</v>
      </c>
      <c r="F128" s="30">
        <f>MAX(F119,0)-F125</f>
        <v>420.40676269714186</v>
      </c>
      <c r="G128" s="30">
        <f>MAX(G119,0)-G125</f>
        <v>2115.8774511706197</v>
      </c>
      <c r="H128" s="30">
        <f>MAX(H119,0)-H125</f>
        <v>20252.327143015671</v>
      </c>
      <c r="I128" s="30">
        <f>MAX(I119,0)-I125</f>
        <v>31671.48802663399</v>
      </c>
      <c r="J128" s="30">
        <f>MAX(J119,0)-J125</f>
        <v>41919.409520248417</v>
      </c>
      <c r="K128" s="30">
        <f>MAX(K119,0)-K125</f>
        <v>52015.285350325263</v>
      </c>
      <c r="L128" s="30">
        <f>MAX(L119,0)-L125</f>
        <v>60179.77072666512</v>
      </c>
      <c r="M128" s="30">
        <f>MAX(M119,0)-M125</f>
        <v>68597.082375128157</v>
      </c>
      <c r="N128" s="30">
        <f>MAX(N119,0)-N125</f>
        <v>74556.460907954621</v>
      </c>
      <c r="O128" s="30">
        <f>MAX(O119,0)-O125</f>
        <v>79947.922326067157</v>
      </c>
      <c r="P128" s="30">
        <f>MAX(P119,0)-P125</f>
        <v>83826.294166021704</v>
      </c>
      <c r="Q128" s="30">
        <f>MAX(Q119,0)-Q125</f>
        <v>85996.452542307088</v>
      </c>
      <c r="R128" s="30">
        <f>MAX(R119,0)-R125</f>
        <v>87660.44867941417</v>
      </c>
      <c r="S128" s="30">
        <f>MAX(S119,0)-S125</f>
        <v>88835.13466868957</v>
      </c>
    </row>
    <row r="129" spans="1:19" x14ac:dyDescent="0.3">
      <c r="A129" s="1" t="s">
        <v>432</v>
      </c>
      <c r="B129" s="9"/>
      <c r="C129" s="9"/>
      <c r="D129" s="9"/>
      <c r="E129" s="30">
        <f>E128*$E$40</f>
        <v>0</v>
      </c>
      <c r="F129" s="30">
        <f>F128*$E$40</f>
        <v>96.693555420342634</v>
      </c>
      <c r="G129" s="30">
        <f>G128*$E$40</f>
        <v>486.65181376924255</v>
      </c>
      <c r="H129" s="30">
        <f>H128*$E$40</f>
        <v>4658.0352428936048</v>
      </c>
      <c r="I129" s="30">
        <f>I128*$E$40</f>
        <v>7284.4422461258182</v>
      </c>
      <c r="J129" s="30">
        <f>J128*$E$40</f>
        <v>9641.4641896571356</v>
      </c>
      <c r="K129" s="30">
        <f>K128*$E$40</f>
        <v>11963.515630574811</v>
      </c>
      <c r="L129" s="30">
        <f>L128*$E$40</f>
        <v>13841.347267132978</v>
      </c>
      <c r="M129" s="30">
        <f>M128*$E$40</f>
        <v>15777.328946279476</v>
      </c>
      <c r="N129" s="30">
        <f>N128*$E$40</f>
        <v>17147.986008829565</v>
      </c>
      <c r="O129" s="30">
        <f>O128*$E$40</f>
        <v>18388.022134995448</v>
      </c>
      <c r="P129" s="30">
        <f>P128*$E$40</f>
        <v>19280.047658184994</v>
      </c>
      <c r="Q129" s="30">
        <f>Q128*$E$40</f>
        <v>19779.18408473063</v>
      </c>
      <c r="R129" s="30">
        <f>R128*$E$40</f>
        <v>20161.903196265259</v>
      </c>
      <c r="S129" s="30">
        <f>S128*$E$40</f>
        <v>20432.080973798602</v>
      </c>
    </row>
    <row r="130" spans="1:19" x14ac:dyDescent="0.3">
      <c r="A130" s="3" t="s">
        <v>433</v>
      </c>
      <c r="B130" s="75"/>
      <c r="C130" s="75"/>
      <c r="D130" s="75"/>
      <c r="E130" s="31">
        <f>IF(E119&gt;0,E129/E119,0)</f>
        <v>0</v>
      </c>
      <c r="F130" s="31">
        <f>IF(F119&gt;0,F129/F119,0)</f>
        <v>4.6000000000000006E-2</v>
      </c>
      <c r="G130" s="31">
        <f>IF(G119&gt;0,G129/G119,0)</f>
        <v>4.5999999999999992E-2</v>
      </c>
      <c r="H130" s="31">
        <f>IF(H119&gt;0,H129/H119,0)</f>
        <v>0.22577763624767883</v>
      </c>
      <c r="I130" s="31">
        <f>IF(I119&gt;0,I129/I119,0)</f>
        <v>0.23</v>
      </c>
      <c r="J130" s="31">
        <f>IF(J119&gt;0,J129/J119,0)</f>
        <v>0.22999999999999998</v>
      </c>
      <c r="K130" s="31">
        <f>IF(K119&gt;0,K129/K119,0)</f>
        <v>0.23</v>
      </c>
      <c r="L130" s="31">
        <f>IF(L119&gt;0,L129/L119,0)</f>
        <v>0.23</v>
      </c>
      <c r="M130" s="31">
        <f>IF(M119&gt;0,M129/M119,0)</f>
        <v>0.23</v>
      </c>
      <c r="N130" s="31">
        <f>IF(N119&gt;0,N129/N119,0)</f>
        <v>0.23</v>
      </c>
      <c r="O130" s="31">
        <f>IF(O119&gt;0,O129/O119,0)</f>
        <v>0.23000000000000004</v>
      </c>
      <c r="P130" s="31">
        <f>IF(P119&gt;0,P129/P119,0)</f>
        <v>0.23000000000000004</v>
      </c>
      <c r="Q130" s="31">
        <f>IF(Q119&gt;0,Q129/Q119,0)</f>
        <v>0.23</v>
      </c>
      <c r="R130" s="31">
        <f>IF(R119&gt;0,R129/R119,0)</f>
        <v>0.23</v>
      </c>
      <c r="S130" s="31">
        <f>IF(S119&gt;0,S129/S119,0)</f>
        <v>0.23</v>
      </c>
    </row>
    <row r="131" spans="1:19" ht="3" customHeight="1" x14ac:dyDescent="0.3"/>
    <row r="132" spans="1:19" x14ac:dyDescent="0.3">
      <c r="A132" s="5" t="s">
        <v>434</v>
      </c>
      <c r="B132" s="5"/>
      <c r="C132" s="5"/>
      <c r="D132" s="5"/>
      <c r="E132" s="5"/>
      <c r="F132" s="5"/>
      <c r="G132" s="5"/>
      <c r="H132" s="5"/>
      <c r="I132" s="5"/>
      <c r="J132" s="5"/>
      <c r="K132" s="5"/>
      <c r="L132" s="5"/>
      <c r="M132" s="5"/>
      <c r="N132" s="5"/>
      <c r="O132" s="5"/>
      <c r="P132" s="5"/>
      <c r="Q132" s="5"/>
      <c r="R132" s="5"/>
      <c r="S132" s="5"/>
    </row>
    <row r="133" spans="1:19" x14ac:dyDescent="0.3">
      <c r="A133" s="1" t="s">
        <v>435</v>
      </c>
      <c r="B133" s="9"/>
      <c r="C133" s="9"/>
      <c r="D133" s="9"/>
      <c r="E133" s="30">
        <f>E119</f>
        <v>-2323.8842524674997</v>
      </c>
      <c r="F133" s="30">
        <f>F119</f>
        <v>2102.0338134857093</v>
      </c>
      <c r="G133" s="30">
        <f>G119</f>
        <v>10579.3872558531</v>
      </c>
      <c r="H133" s="30">
        <f>H119</f>
        <v>20631.074540012123</v>
      </c>
      <c r="I133" s="30">
        <f>I119</f>
        <v>31671.48802663399</v>
      </c>
      <c r="J133" s="30">
        <f>J119</f>
        <v>41919.409520248417</v>
      </c>
      <c r="K133" s="30">
        <f>K119</f>
        <v>52015.285350325263</v>
      </c>
      <c r="L133" s="30">
        <f>L119</f>
        <v>60179.77072666512</v>
      </c>
      <c r="M133" s="30">
        <f>M119</f>
        <v>68597.082375128157</v>
      </c>
      <c r="N133" s="30">
        <f>N119</f>
        <v>74556.460907954621</v>
      </c>
      <c r="O133" s="30">
        <f>O119</f>
        <v>79947.922326067157</v>
      </c>
      <c r="P133" s="30">
        <f>P119</f>
        <v>83826.294166021704</v>
      </c>
      <c r="Q133" s="30">
        <f>Q119</f>
        <v>85996.452542307088</v>
      </c>
      <c r="R133" s="30">
        <f>R119</f>
        <v>87660.44867941417</v>
      </c>
      <c r="S133" s="30">
        <f>S119</f>
        <v>88835.13466868957</v>
      </c>
    </row>
    <row r="134" spans="1:19" x14ac:dyDescent="0.3">
      <c r="A134" s="1" t="s">
        <v>436</v>
      </c>
      <c r="B134" s="9"/>
      <c r="C134" s="9"/>
      <c r="D134" s="9"/>
      <c r="E134" s="30">
        <f>-E129</f>
        <v>0</v>
      </c>
      <c r="F134" s="30">
        <f>-F129</f>
        <v>-96.693555420342634</v>
      </c>
      <c r="G134" s="30">
        <f>-G129</f>
        <v>-486.65181376924255</v>
      </c>
      <c r="H134" s="30">
        <f>-H129</f>
        <v>-4658.0352428936048</v>
      </c>
      <c r="I134" s="30">
        <f>-I129</f>
        <v>-7284.4422461258182</v>
      </c>
      <c r="J134" s="30">
        <f>-J129</f>
        <v>-9641.4641896571356</v>
      </c>
      <c r="K134" s="30">
        <f>-K129</f>
        <v>-11963.515630574811</v>
      </c>
      <c r="L134" s="30">
        <f>-L129</f>
        <v>-13841.347267132978</v>
      </c>
      <c r="M134" s="30">
        <f>-M129</f>
        <v>-15777.328946279476</v>
      </c>
      <c r="N134" s="30">
        <f>-N129</f>
        <v>-17147.986008829565</v>
      </c>
      <c r="O134" s="30">
        <f>-O129</f>
        <v>-18388.022134995448</v>
      </c>
      <c r="P134" s="30">
        <f>-P129</f>
        <v>-19280.047658184994</v>
      </c>
      <c r="Q134" s="30">
        <f>-Q129</f>
        <v>-19779.18408473063</v>
      </c>
      <c r="R134" s="30">
        <f>-R129</f>
        <v>-20161.903196265259</v>
      </c>
      <c r="S134" s="30">
        <f>-S129</f>
        <v>-20432.080973798602</v>
      </c>
    </row>
    <row r="135" spans="1:19" x14ac:dyDescent="0.3">
      <c r="A135" s="10" t="s">
        <v>437</v>
      </c>
      <c r="B135" s="12"/>
      <c r="C135" s="12"/>
      <c r="D135" s="12"/>
      <c r="E135" s="34">
        <f>E133+E134</f>
        <v>-2323.8842524674997</v>
      </c>
      <c r="F135" s="34">
        <f>F133+F134</f>
        <v>2005.3402580653667</v>
      </c>
      <c r="G135" s="34">
        <f>G133+G134</f>
        <v>10092.735442083858</v>
      </c>
      <c r="H135" s="34">
        <f>H133+H134</f>
        <v>15973.039297118517</v>
      </c>
      <c r="I135" s="34">
        <f>I133+I134</f>
        <v>24387.045780508171</v>
      </c>
      <c r="J135" s="34">
        <f>J133+J134</f>
        <v>32277.945330591283</v>
      </c>
      <c r="K135" s="34">
        <f>K133+K134</f>
        <v>40051.769719750453</v>
      </c>
      <c r="L135" s="34">
        <f>L133+L134</f>
        <v>46338.42345953214</v>
      </c>
      <c r="M135" s="34">
        <f>M133+M134</f>
        <v>52819.753428848679</v>
      </c>
      <c r="N135" s="34">
        <f>N133+N134</f>
        <v>57408.474899125053</v>
      </c>
      <c r="O135" s="34">
        <f>O133+O134</f>
        <v>61559.900191071705</v>
      </c>
      <c r="P135" s="34">
        <f>P133+P134</f>
        <v>64546.246507836709</v>
      </c>
      <c r="Q135" s="34">
        <f>Q133+Q134</f>
        <v>66217.268457576458</v>
      </c>
      <c r="R135" s="34">
        <f>R133+R134</f>
        <v>67498.545483148919</v>
      </c>
      <c r="S135" s="34">
        <f>S133+S134</f>
        <v>68403.053694890972</v>
      </c>
    </row>
    <row r="136" spans="1:19" x14ac:dyDescent="0.3">
      <c r="A136" s="1" t="s">
        <v>438</v>
      </c>
      <c r="B136" s="9"/>
      <c r="C136" s="9"/>
      <c r="D136" s="9"/>
      <c r="E136" s="30">
        <f>E118</f>
        <v>651.7872000000001</v>
      </c>
      <c r="F136" s="30">
        <f>F118</f>
        <v>1798.0168978285717</v>
      </c>
      <c r="G136" s="30">
        <f>G118</f>
        <v>3154.899213956799</v>
      </c>
      <c r="H136" s="30">
        <f>H118</f>
        <v>4440.7061544519947</v>
      </c>
      <c r="I136" s="30">
        <f>I118</f>
        <v>5578.5581773737922</v>
      </c>
      <c r="J136" s="30">
        <f>J118</f>
        <v>6574.5686953838431</v>
      </c>
      <c r="K136" s="30">
        <f>K118</f>
        <v>7361.8689468830325</v>
      </c>
      <c r="L136" s="30">
        <f>L118</f>
        <v>7974.2583466380665</v>
      </c>
      <c r="M136" s="30">
        <f>M118</f>
        <v>8544.3522622654073</v>
      </c>
      <c r="N136" s="30">
        <f>N118</f>
        <v>9048.5635929527216</v>
      </c>
      <c r="O136" s="30">
        <f>O118</f>
        <v>9406.5021989880897</v>
      </c>
      <c r="P136" s="30">
        <f>P118</f>
        <v>9740.5034463295706</v>
      </c>
      <c r="Q136" s="30">
        <f>Q118</f>
        <v>10170.420278487123</v>
      </c>
      <c r="R136" s="30">
        <f>R118</f>
        <v>10611.261819646021</v>
      </c>
      <c r="S136" s="30">
        <f>S118</f>
        <v>10982.742954850897</v>
      </c>
    </row>
    <row r="137" spans="1:19" x14ac:dyDescent="0.3">
      <c r="A137" s="1" t="s">
        <v>439</v>
      </c>
      <c r="B137" s="9"/>
      <c r="C137" s="9"/>
      <c r="D137" s="9"/>
      <c r="E137" s="30">
        <f>-E92</f>
        <v>-3938.248000000001</v>
      </c>
      <c r="F137" s="30">
        <f>-F92</f>
        <v>-6841.1081142857147</v>
      </c>
      <c r="G137" s="30">
        <f>-G92</f>
        <v>-8691.7793962902688</v>
      </c>
      <c r="H137" s="30">
        <f>-H92</f>
        <v>-9229.0120191325786</v>
      </c>
      <c r="I137" s="30">
        <f>-I92</f>
        <v>-10064.067800546953</v>
      </c>
      <c r="J137" s="30">
        <f>-J92</f>
        <v>-10375.11123482091</v>
      </c>
      <c r="K137" s="30">
        <f>-K92</f>
        <v>-10144.279417810374</v>
      </c>
      <c r="L137" s="30">
        <f>-L92</f>
        <v>-10338.436382959891</v>
      </c>
      <c r="M137" s="30">
        <f>-M92</f>
        <v>-11010.900390433853</v>
      </c>
      <c r="N137" s="30">
        <f>-N92</f>
        <v>-10919.325924734085</v>
      </c>
      <c r="O137" s="30">
        <f>-O92</f>
        <v>-10637.68218281708</v>
      </c>
      <c r="P137" s="30">
        <f>-P92</f>
        <v>-11393.709177576202</v>
      </c>
      <c r="Q137" s="30">
        <f>-Q92</f>
        <v>-12312.361479167637</v>
      </c>
      <c r="R137" s="30">
        <f>-R92</f>
        <v>-12464.089869005173</v>
      </c>
      <c r="S137" s="30">
        <f>-S92</f>
        <v>-12580.710079547218</v>
      </c>
    </row>
    <row r="138" spans="1:19" x14ac:dyDescent="0.3">
      <c r="A138" s="1" t="s">
        <v>440</v>
      </c>
      <c r="B138" s="9"/>
      <c r="C138" s="9"/>
      <c r="D138" s="9"/>
      <c r="E138" s="30">
        <f>-E65*E32</f>
        <v>-619.10976000000005</v>
      </c>
      <c r="F138" s="30">
        <f>-F65*F32</f>
        <v>-1040.1043968000001</v>
      </c>
      <c r="G138" s="30">
        <f>-G65*G32</f>
        <v>-1394.2351795200002</v>
      </c>
      <c r="H138" s="30">
        <f>-H65*H32</f>
        <v>-1695.8159258112003</v>
      </c>
      <c r="I138" s="30">
        <f>-I65*I32</f>
        <v>-1964.055878019072</v>
      </c>
      <c r="J138" s="30">
        <f>-J65*J32</f>
        <v>-2196.1883980711532</v>
      </c>
      <c r="K138" s="30">
        <f>-K65*K32</f>
        <v>-2411.8620921839379</v>
      </c>
      <c r="L138" s="30">
        <f>-L65*L32</f>
        <v>-2602.6609551552424</v>
      </c>
      <c r="M138" s="30">
        <f>-M65*M32</f>
        <v>-2782.5358597824438</v>
      </c>
      <c r="N138" s="30">
        <f>-N65*N32</f>
        <v>-2947.0264105905362</v>
      </c>
      <c r="O138" s="30">
        <f>-O65*O32</f>
        <v>-3091.7807422983715</v>
      </c>
      <c r="P138" s="30">
        <f>-P65*P32</f>
        <v>-3228.1970223831308</v>
      </c>
      <c r="Q138" s="30">
        <f>-Q65*Q32</f>
        <v>-3354.5024958270415</v>
      </c>
      <c r="R138" s="30">
        <f>-R65*R32</f>
        <v>-3468.988891468774</v>
      </c>
      <c r="S138" s="30">
        <f>-S65*S32</f>
        <v>-3573.0585582128374</v>
      </c>
    </row>
    <row r="139" spans="1:19" x14ac:dyDescent="0.3">
      <c r="A139" s="1" t="s">
        <v>441</v>
      </c>
      <c r="B139" s="9"/>
      <c r="C139" s="9"/>
      <c r="D139" s="9"/>
      <c r="E139" s="30">
        <f>-(E65-D65)*E34</f>
        <v>-2350.3740000000003</v>
      </c>
      <c r="F139" s="30">
        <f>-(F65-E65)*F34</f>
        <v>-1754.1443200000006</v>
      </c>
      <c r="G139" s="30">
        <f>-(G65-F65)*G34</f>
        <v>-1475.5449280000003</v>
      </c>
      <c r="H139" s="30">
        <f>-(H65-G65)*H34</f>
        <v>-1256.58644288</v>
      </c>
      <c r="I139" s="30">
        <f>-(I65-H65)*I34</f>
        <v>-1117.6664675327993</v>
      </c>
      <c r="J139" s="30">
        <f>-(J65-I65)*J34</f>
        <v>-967.21883355033788</v>
      </c>
      <c r="K139" s="30">
        <f>-(K65-J65)*K34</f>
        <v>-898.64039213660294</v>
      </c>
      <c r="L139" s="30">
        <f>-(L65-K65)*L34</f>
        <v>-794.9952623804362</v>
      </c>
      <c r="M139" s="30">
        <f>-(M65-L65)*M34</f>
        <v>-749.47876928000483</v>
      </c>
      <c r="N139" s="30">
        <f>-(N65-M65)*N34</f>
        <v>-685.37729503371816</v>
      </c>
      <c r="O139" s="30">
        <f>-(O65-N65)*O34</f>
        <v>-603.14304878264818</v>
      </c>
      <c r="P139" s="30">
        <f>-(P65-O65)*P34</f>
        <v>-568.40116701983061</v>
      </c>
      <c r="Q139" s="30">
        <f>-(Q65-P65)*Q34</f>
        <v>-526.27280601629468</v>
      </c>
      <c r="R139" s="30">
        <f>-(R65-Q65)*R34</f>
        <v>-477.02664850721777</v>
      </c>
      <c r="S139" s="30">
        <f>-(S65-R65)*S34</f>
        <v>-433.62361143359743</v>
      </c>
    </row>
    <row r="140" spans="1:19" x14ac:dyDescent="0.3">
      <c r="A140" s="27" t="s">
        <v>442</v>
      </c>
      <c r="B140" s="96"/>
      <c r="C140" s="96"/>
      <c r="D140" s="96"/>
      <c r="E140" s="97">
        <f>E135+E136+E137+E138+E139</f>
        <v>-8579.8288124675018</v>
      </c>
      <c r="F140" s="97">
        <f>F135+F136+F137+F138+F139</f>
        <v>-5831.999675191777</v>
      </c>
      <c r="G140" s="97">
        <f>G135+G136+G137+G138+G139</f>
        <v>1686.0751522303872</v>
      </c>
      <c r="H140" s="97">
        <f>H135+H136+H137+H138+H139</f>
        <v>8232.3310637467312</v>
      </c>
      <c r="I140" s="97">
        <f>I135+I136+I137+I138+I139</f>
        <v>16819.813811783137</v>
      </c>
      <c r="J140" s="97">
        <f>J135+J136+J137+J138+J139</f>
        <v>25313.995559532726</v>
      </c>
      <c r="K140" s="97">
        <f>K135+K136+K137+K138+K139</f>
        <v>33958.856764502576</v>
      </c>
      <c r="L140" s="97">
        <f>L135+L136+L137+L138+L139</f>
        <v>40576.589205674645</v>
      </c>
      <c r="M140" s="97">
        <f>M135+M136+M137+M138+M139</f>
        <v>46821.190671617784</v>
      </c>
      <c r="N140" s="97">
        <f>N135+N136+N137+N138+N139</f>
        <v>51905.308861719437</v>
      </c>
      <c r="O140" s="97">
        <f>O135+O136+O137+O138+O139</f>
        <v>56633.796416161691</v>
      </c>
      <c r="P140" s="97">
        <f>P135+P136+P137+P138+P139</f>
        <v>59096.442587187121</v>
      </c>
      <c r="Q140" s="97">
        <f>Q135+Q136+Q137+Q138+Q139</f>
        <v>60194.551955052601</v>
      </c>
      <c r="R140" s="97">
        <f>R135+R136+R137+R138+R139</f>
        <v>61699.701893813777</v>
      </c>
      <c r="S140" s="97">
        <f>S135+S136+S137+S138+S139</f>
        <v>62798.404400548206</v>
      </c>
    </row>
    <row r="141" spans="1:19" x14ac:dyDescent="0.3">
      <c r="A141" s="3" t="s">
        <v>443</v>
      </c>
      <c r="B141" s="75"/>
      <c r="C141" s="75"/>
      <c r="D141" s="75"/>
      <c r="E141" s="31">
        <f>E140/E65</f>
        <v>-0.16629998814686756</v>
      </c>
      <c r="F141" s="31">
        <f>F140/F65</f>
        <v>-6.7285549717523624E-2</v>
      </c>
      <c r="G141" s="31">
        <f>G140/G65</f>
        <v>1.4511828509255031E-2</v>
      </c>
      <c r="H141" s="31">
        <f>H140/H65</f>
        <v>5.8253948003056499E-2</v>
      </c>
      <c r="I141" s="31">
        <f>I140/I65</f>
        <v>0.10276579602458627</v>
      </c>
      <c r="J141" s="31">
        <f>J140/J65</f>
        <v>0.13831597825632039</v>
      </c>
      <c r="K141" s="31">
        <f>K140/K65</f>
        <v>0.16895919650407315</v>
      </c>
      <c r="L141" s="31">
        <f>L140/L65</f>
        <v>0.18708509439296223</v>
      </c>
      <c r="M141" s="31">
        <f>M140/M65</f>
        <v>0.20192167014995549</v>
      </c>
      <c r="N141" s="31">
        <f>N140/N65</f>
        <v>0.21135328278779203</v>
      </c>
      <c r="O141" s="31">
        <f>O140/O65</f>
        <v>0.2198103984853513</v>
      </c>
      <c r="P141" s="31">
        <f>P140/P65</f>
        <v>0.2196759696292418</v>
      </c>
      <c r="Q141" s="31">
        <f>Q140/Q65</f>
        <v>0.21533286213356714</v>
      </c>
      <c r="R141" s="31">
        <f>R140/R65</f>
        <v>0.21343291831997785</v>
      </c>
      <c r="S141" s="31">
        <f>S140/S65</f>
        <v>0.2109063818935849</v>
      </c>
    </row>
    <row r="142" spans="1:19" x14ac:dyDescent="0.3">
      <c r="A142" s="3" t="s">
        <v>444</v>
      </c>
      <c r="B142" s="41">
        <f>-Historicals!B130/Historicals!B7</f>
        <v>4.878048780487805E-2</v>
      </c>
      <c r="C142" s="41">
        <f>-Historicals!C130/Historicals!C7</f>
        <v>3.8860103626943004E-2</v>
      </c>
      <c r="D142" s="41">
        <f>-Historicals!D130/Historicals!D7</f>
        <v>2.8571428571428571E-2</v>
      </c>
      <c r="E142" s="31">
        <f>-(E137+E138)/E65</f>
        <v>8.8333760268938424E-2</v>
      </c>
      <c r="F142" s="31">
        <f>-(F137+F138)/F65</f>
        <v>9.0927939949103156E-2</v>
      </c>
      <c r="G142" s="31">
        <f>-(G137+G138)/G65</f>
        <v>8.6809009475282028E-2</v>
      </c>
      <c r="H142" s="31">
        <f>-(H137+H138)/H65</f>
        <v>7.7306701360652777E-2</v>
      </c>
      <c r="I142" s="31">
        <f>-(I137+I138)/I65</f>
        <v>7.3489499844764952E-2</v>
      </c>
      <c r="J142" s="31">
        <f>-(J137+J138)/J65</f>
        <v>6.868973341594771E-2</v>
      </c>
      <c r="K142" s="31">
        <f>-(K137+K138)/K65</f>
        <v>6.2471937598843771E-2</v>
      </c>
      <c r="L142" s="31">
        <f>-(L137+L138)/L65</f>
        <v>5.9667075632645644E-2</v>
      </c>
      <c r="M142" s="31">
        <f>-(M137+M138)/M65</f>
        <v>5.9485750891827525E-2</v>
      </c>
      <c r="N142" s="31">
        <f>-(N137+N138)/N65</f>
        <v>5.6462414936604644E-2</v>
      </c>
      <c r="O142" s="31">
        <f>-(O137+O138)/O65</f>
        <v>5.3287593407710644E-2</v>
      </c>
      <c r="P142" s="31">
        <f>-(P137+P138)/P65</f>
        <v>5.4353211152515457E-2</v>
      </c>
      <c r="Q142" s="31">
        <f>-(Q137+Q138)/Q65</f>
        <v>5.604478396835557E-2</v>
      </c>
      <c r="R142" s="31">
        <f>-(R137+R138)/R65</f>
        <v>5.5116044215619948E-2</v>
      </c>
      <c r="S142" s="31">
        <f>-(S137+S138)/S65</f>
        <v>5.4251902255438446E-2</v>
      </c>
    </row>
    <row r="143" spans="1:19" x14ac:dyDescent="0.3">
      <c r="A143" s="3" t="s">
        <v>445</v>
      </c>
      <c r="B143" s="77">
        <f>Historicals!B148</f>
        <v>-1629</v>
      </c>
      <c r="C143" s="77">
        <f>Historicals!C148</f>
        <v>-5707</v>
      </c>
      <c r="D143" s="77">
        <f>Historicals!D148</f>
        <v>-2768</v>
      </c>
      <c r="E143" s="9"/>
      <c r="F143" s="9"/>
      <c r="G143" s="9"/>
      <c r="H143" s="9"/>
      <c r="I143" s="9"/>
      <c r="J143" s="9"/>
      <c r="K143" s="9"/>
      <c r="L143" s="9"/>
      <c r="M143" s="9"/>
      <c r="N143" s="9"/>
      <c r="O143" s="9"/>
      <c r="P143" s="9"/>
      <c r="Q143" s="9"/>
      <c r="R143" s="9"/>
      <c r="S143" s="9"/>
    </row>
    <row r="144" spans="1:19" ht="3" customHeight="1" x14ac:dyDescent="0.3"/>
    <row r="145" spans="1:19" x14ac:dyDescent="0.3">
      <c r="A145" s="5" t="s">
        <v>446</v>
      </c>
      <c r="B145" s="5"/>
      <c r="C145" s="5"/>
      <c r="D145" s="5"/>
      <c r="E145" s="5"/>
      <c r="F145" s="5"/>
      <c r="G145" s="5"/>
      <c r="H145" s="5"/>
      <c r="I145" s="5"/>
      <c r="J145" s="5"/>
      <c r="K145" s="5"/>
      <c r="L145" s="5"/>
      <c r="M145" s="5"/>
      <c r="N145" s="5"/>
      <c r="O145" s="5"/>
      <c r="P145" s="5"/>
      <c r="Q145" s="5"/>
      <c r="R145" s="5"/>
      <c r="S145" s="5"/>
    </row>
    <row r="146" spans="1:19" x14ac:dyDescent="0.3">
      <c r="A146" s="1" t="s">
        <v>447</v>
      </c>
      <c r="B146" s="51"/>
      <c r="C146" s="51"/>
      <c r="D146" s="51"/>
      <c r="E146" s="52">
        <f>MAX(0,(Actuals!$B$10-Actuals!$B$8)/365)</f>
        <v>0.50410958904109593</v>
      </c>
      <c r="F146" s="54">
        <f>1</f>
        <v>1</v>
      </c>
      <c r="G146" s="54">
        <f>1</f>
        <v>1</v>
      </c>
      <c r="H146" s="54">
        <f>1</f>
        <v>1</v>
      </c>
      <c r="I146" s="54">
        <f>1</f>
        <v>1</v>
      </c>
      <c r="J146" s="54">
        <f>1</f>
        <v>1</v>
      </c>
      <c r="K146" s="54">
        <f>1</f>
        <v>1</v>
      </c>
      <c r="L146" s="54">
        <f>1</f>
        <v>1</v>
      </c>
      <c r="M146" s="54">
        <f>1</f>
        <v>1</v>
      </c>
      <c r="N146" s="54">
        <f>1</f>
        <v>1</v>
      </c>
      <c r="O146" s="54">
        <f>1</f>
        <v>1</v>
      </c>
      <c r="P146" s="54">
        <f>1</f>
        <v>1</v>
      </c>
      <c r="Q146" s="54">
        <f>1</f>
        <v>1</v>
      </c>
      <c r="R146" s="54">
        <f>1</f>
        <v>1</v>
      </c>
      <c r="S146" s="54">
        <f>1</f>
        <v>1</v>
      </c>
    </row>
    <row r="147" spans="1:19" x14ac:dyDescent="0.3">
      <c r="A147" s="1" t="s">
        <v>448</v>
      </c>
      <c r="B147" s="51"/>
      <c r="C147" s="51"/>
      <c r="D147" s="51"/>
      <c r="E147" s="54">
        <f>E146/2</f>
        <v>0.25205479452054796</v>
      </c>
      <c r="F147" s="54">
        <f>E147+(E146+F146)/2</f>
        <v>1.004109589041096</v>
      </c>
      <c r="G147" s="54">
        <f>F147+(F146+G146)/2</f>
        <v>2.004109589041096</v>
      </c>
      <c r="H147" s="54">
        <f>G147+(G146+H146)/2</f>
        <v>3.004109589041096</v>
      </c>
      <c r="I147" s="54">
        <f>H147+(H146+I146)/2</f>
        <v>4.0041095890410965</v>
      </c>
      <c r="J147" s="54">
        <f>I147+(I146+J146)/2</f>
        <v>5.0041095890410965</v>
      </c>
      <c r="K147" s="54">
        <f>J147+(J146+K146)/2</f>
        <v>6.0041095890410965</v>
      </c>
      <c r="L147" s="54">
        <f>K147+(K146+L146)/2</f>
        <v>7.0041095890410965</v>
      </c>
      <c r="M147" s="54">
        <f>L147+(L146+M146)/2</f>
        <v>8.0041095890410965</v>
      </c>
      <c r="N147" s="54">
        <f>M147+(M146+N146)/2</f>
        <v>9.0041095890410965</v>
      </c>
      <c r="O147" s="54">
        <f>N147+(N146+O146)/2</f>
        <v>10.004109589041096</v>
      </c>
      <c r="P147" s="54">
        <f>O147+(O146+P146)/2</f>
        <v>11.004109589041096</v>
      </c>
      <c r="Q147" s="54">
        <f>P147+(P146+Q146)/2</f>
        <v>12.004109589041096</v>
      </c>
      <c r="R147" s="54">
        <f>Q147+(Q146+R146)/2</f>
        <v>13.004109589041096</v>
      </c>
      <c r="S147" s="54">
        <f>R147+(R146+S146)/2</f>
        <v>14.004109589041096</v>
      </c>
    </row>
    <row r="148" spans="1:19" x14ac:dyDescent="0.3">
      <c r="A148" s="1" t="s">
        <v>716</v>
      </c>
      <c r="B148" s="9"/>
      <c r="C148" s="9"/>
      <c r="D148" s="9"/>
      <c r="E148" s="30">
        <f>E140-E52</f>
        <v>-11171.358812467501</v>
      </c>
      <c r="F148" s="30">
        <f>F140*F146</f>
        <v>-5831.999675191777</v>
      </c>
      <c r="G148" s="30">
        <f>G140*G146</f>
        <v>1686.0751522303872</v>
      </c>
      <c r="H148" s="30">
        <f>H140*H146</f>
        <v>8232.3310637467312</v>
      </c>
      <c r="I148" s="30">
        <f>I140*I146</f>
        <v>16819.813811783137</v>
      </c>
      <c r="J148" s="30">
        <f>J140*J146</f>
        <v>25313.995559532726</v>
      </c>
      <c r="K148" s="30">
        <f>K140*K146</f>
        <v>33958.856764502576</v>
      </c>
      <c r="L148" s="30">
        <f>L140*L146</f>
        <v>40576.589205674645</v>
      </c>
      <c r="M148" s="30">
        <f>M140*M146</f>
        <v>46821.190671617784</v>
      </c>
      <c r="N148" s="30">
        <f>N140*N146</f>
        <v>51905.308861719437</v>
      </c>
      <c r="O148" s="30">
        <f>O140*O146</f>
        <v>56633.796416161691</v>
      </c>
      <c r="P148" s="30">
        <f>P140*P146</f>
        <v>59096.442587187121</v>
      </c>
      <c r="Q148" s="30">
        <f>Q140*Q146</f>
        <v>60194.551955052601</v>
      </c>
      <c r="R148" s="30">
        <f>R140*R146</f>
        <v>61699.701893813777</v>
      </c>
      <c r="S148" s="30">
        <f>S140*S146</f>
        <v>62798.404400548206</v>
      </c>
    </row>
    <row r="149" spans="1:19" x14ac:dyDescent="0.3">
      <c r="A149" s="1" t="s">
        <v>449</v>
      </c>
      <c r="B149" s="98"/>
      <c r="C149" s="98"/>
      <c r="D149" s="98"/>
      <c r="E149" s="99">
        <f>1/(1+$E$38)^E147</f>
        <v>0.96887087613611356</v>
      </c>
      <c r="F149" s="99">
        <f>1/(1+$E$38)^F147</f>
        <v>0.8816323775498055</v>
      </c>
      <c r="G149" s="99">
        <f>1/(1+$E$38)^G147</f>
        <v>0.77767652168748702</v>
      </c>
      <c r="H149" s="99">
        <f>1/(1+$E$38)^H147</f>
        <v>0.68597840526765674</v>
      </c>
      <c r="I149" s="99">
        <f>1/(1+$E$38)^I147</f>
        <v>0.6050926823307865</v>
      </c>
      <c r="J149" s="99">
        <f>1/(1+$E$38)^J147</f>
        <v>0.53374443189272969</v>
      </c>
      <c r="K149" s="99">
        <f>1/(1+$E$38)^K147</f>
        <v>0.47080906263671429</v>
      </c>
      <c r="L149" s="99">
        <f>1/(1+$E$38)^L147</f>
        <v>0.41529458710196038</v>
      </c>
      <c r="M149" s="99">
        <f>1/(1+$E$38)^M147</f>
        <v>0.36632598597463434</v>
      </c>
      <c r="N149" s="99">
        <f>1/(1+$E$38)^N147</f>
        <v>0.32313141603105316</v>
      </c>
      <c r="O149" s="99">
        <f>1/(1+$E$38)^O147</f>
        <v>0.28503004434270063</v>
      </c>
      <c r="P149" s="99">
        <f>1/(1+$E$38)^P147</f>
        <v>0.25142131698576303</v>
      </c>
      <c r="Q149" s="99">
        <f>1/(1+$E$38)^Q147</f>
        <v>0.22177549310855429</v>
      </c>
      <c r="R149" s="99">
        <f>1/(1+$E$38)^R147</f>
        <v>0.19562529515477617</v>
      </c>
      <c r="S149" s="99">
        <f>1/(1+$E$38)^S147</f>
        <v>0.17255854363340906</v>
      </c>
    </row>
    <row r="150" spans="1:19" x14ac:dyDescent="0.3">
      <c r="A150" s="10" t="s">
        <v>450</v>
      </c>
      <c r="B150" s="12"/>
      <c r="C150" s="12"/>
      <c r="D150" s="12"/>
      <c r="E150" s="34">
        <f>E148*E149</f>
        <v>-10823.60420026628</v>
      </c>
      <c r="F150" s="34">
        <f>F148*F149</f>
        <v>-5141.6797395090198</v>
      </c>
      <c r="G150" s="34">
        <f>G148*G149</f>
        <v>1311.2210596902278</v>
      </c>
      <c r="H150" s="34">
        <f>H148*H149</f>
        <v>5647.2013347443744</v>
      </c>
      <c r="I150" s="34">
        <f>I148*I149</f>
        <v>10177.546255676269</v>
      </c>
      <c r="J150" s="34">
        <f>J148*J149</f>
        <v>13511.204178857877</v>
      </c>
      <c r="K150" s="34">
        <f>K148*K149</f>
        <v>15988.137521509901</v>
      </c>
      <c r="L150" s="34">
        <f>L148*L149</f>
        <v>16851.237860176516</v>
      </c>
      <c r="M150" s="34">
        <f>M148*M149</f>
        <v>17151.818837286737</v>
      </c>
      <c r="N150" s="34">
        <f>N148*N149</f>
        <v>16772.235952016574</v>
      </c>
      <c r="O150" s="34">
        <f>O148*O149</f>
        <v>16142.333503794047</v>
      </c>
      <c r="P150" s="34">
        <f>P148*P149</f>
        <v>14858.105424444118</v>
      </c>
      <c r="Q150" s="34">
        <f>Q148*Q149</f>
        <v>13349.676442280281</v>
      </c>
      <c r="R150" s="34">
        <f>R148*R149</f>
        <v>12070.022393939022</v>
      </c>
      <c r="S150" s="34">
        <f>S148*S149</f>
        <v>10836.401205860466</v>
      </c>
    </row>
    <row r="151" spans="1:19" ht="3" customHeight="1" x14ac:dyDescent="0.3"/>
    <row r="152" spans="1:19" x14ac:dyDescent="0.3">
      <c r="A152" s="5" t="s">
        <v>455</v>
      </c>
      <c r="B152" s="5"/>
      <c r="C152" s="5"/>
      <c r="D152" s="5"/>
      <c r="E152" s="5"/>
      <c r="F152" s="5"/>
      <c r="G152" s="5"/>
      <c r="H152" s="5"/>
      <c r="I152" s="5"/>
      <c r="J152" s="5"/>
      <c r="K152" s="5"/>
      <c r="L152" s="5"/>
      <c r="M152" s="5"/>
      <c r="N152" s="5"/>
      <c r="O152" s="5"/>
      <c r="P152" s="5"/>
      <c r="Q152" s="5"/>
      <c r="R152" s="5"/>
      <c r="S152" s="5"/>
    </row>
    <row r="153" spans="1:19" x14ac:dyDescent="0.3">
      <c r="A153" s="6" t="s">
        <v>456</v>
      </c>
      <c r="B153" s="7" t="s">
        <v>457</v>
      </c>
      <c r="C153" s="7" t="s">
        <v>458</v>
      </c>
      <c r="D153" s="7" t="s">
        <v>459</v>
      </c>
      <c r="E153" s="7"/>
      <c r="F153" s="7"/>
    </row>
    <row r="154" spans="1:19" x14ac:dyDescent="0.3">
      <c r="A154" s="1" t="s">
        <v>460</v>
      </c>
      <c r="B154" s="32">
        <v>0.5</v>
      </c>
    </row>
    <row r="155" spans="1:19" x14ac:dyDescent="0.3">
      <c r="A155" s="1" t="s">
        <v>461</v>
      </c>
      <c r="B155" s="30">
        <f>SUM(E150:S150)</f>
        <v>148701.85803050108</v>
      </c>
      <c r="C155" s="30">
        <f>B155</f>
        <v>148701.85803050108</v>
      </c>
      <c r="D155" s="30">
        <f>B155</f>
        <v>148701.85803050108</v>
      </c>
    </row>
    <row r="156" spans="1:19" x14ac:dyDescent="0.3">
      <c r="A156" s="1" t="s">
        <v>462</v>
      </c>
      <c r="B156" s="30">
        <f>S140</f>
        <v>62798.404400548206</v>
      </c>
      <c r="C156" s="30">
        <f>S114</f>
        <v>99817.877623540466</v>
      </c>
    </row>
    <row r="157" spans="1:19" x14ac:dyDescent="0.3">
      <c r="A157" s="1" t="s">
        <v>503</v>
      </c>
      <c r="B157" s="30">
        <f>S140*(1+$E$35)/($E$39-$E$35)</f>
        <v>856498.27542231721</v>
      </c>
      <c r="C157" s="30">
        <f>S114*$E$36</f>
        <v>1097996.6538589452</v>
      </c>
    </row>
    <row r="158" spans="1:19" x14ac:dyDescent="0.3">
      <c r="A158" s="1" t="s">
        <v>463</v>
      </c>
      <c r="B158" s="54">
        <f>S147+0.5</f>
        <v>14.504109589041096</v>
      </c>
      <c r="C158" s="54">
        <f>B158</f>
        <v>14.504109589041096</v>
      </c>
    </row>
    <row r="159" spans="1:19" x14ac:dyDescent="0.3">
      <c r="A159" s="1" t="s">
        <v>464</v>
      </c>
      <c r="B159" s="30">
        <f>B157/(1+$E$38)^B158</f>
        <v>138809.33955104364</v>
      </c>
      <c r="C159" s="30">
        <f>C157/(1+$E$38)^C158</f>
        <v>177948.04114026448</v>
      </c>
      <c r="D159" s="30">
        <f>$B$154*B159+(1-$B$154)*C159</f>
        <v>158378.69034565406</v>
      </c>
    </row>
    <row r="160" spans="1:19" x14ac:dyDescent="0.3">
      <c r="A160" s="27" t="s">
        <v>465</v>
      </c>
      <c r="B160" s="97">
        <f>B155+B159</f>
        <v>287511.19758154475</v>
      </c>
      <c r="C160" s="97">
        <f>C155+C159</f>
        <v>326649.89917076554</v>
      </c>
      <c r="D160" s="97">
        <f>$B$154*B160+(1-$B$154)*C160</f>
        <v>307080.54837615514</v>
      </c>
    </row>
    <row r="161" spans="1:19" x14ac:dyDescent="0.3">
      <c r="A161" s="3" t="s">
        <v>466</v>
      </c>
      <c r="B161" s="31">
        <f>B159/B160</f>
        <v>0.48279629008770741</v>
      </c>
      <c r="C161" s="31">
        <f>C159/C160</f>
        <v>0.54476686382577777</v>
      </c>
      <c r="D161" s="31">
        <f>D159/D160</f>
        <v>0.51575617922776962</v>
      </c>
    </row>
    <row r="162" spans="1:19" x14ac:dyDescent="0.3">
      <c r="A162" s="1" t="s">
        <v>467</v>
      </c>
      <c r="B162" s="77">
        <f>WACC!$B$62</f>
        <v>151251</v>
      </c>
      <c r="C162" s="77">
        <f>WACC!$B$62</f>
        <v>151251</v>
      </c>
      <c r="D162" s="77">
        <f>WACC!$B$62</f>
        <v>151251</v>
      </c>
    </row>
    <row r="163" spans="1:19" x14ac:dyDescent="0.3">
      <c r="A163" s="10" t="s">
        <v>721</v>
      </c>
      <c r="B163" s="34">
        <f>(B160+B162)*Actuals!$B$15</f>
        <v>457251.01026192826</v>
      </c>
      <c r="C163" s="34">
        <f>(C160+C162)*Actuals!$B$15</f>
        <v>498038.96086627652</v>
      </c>
      <c r="D163" s="34">
        <f>(D160+D162)*Actuals!$B$15</f>
        <v>477644.98556410242</v>
      </c>
    </row>
    <row r="164" spans="1:19" x14ac:dyDescent="0.3">
      <c r="A164" s="1" t="s">
        <v>468</v>
      </c>
      <c r="B164" s="65">
        <f>WACC!$B$52</f>
        <v>15663.257426548837</v>
      </c>
      <c r="C164" s="65">
        <f>WACC!$B$52</f>
        <v>15663.257426548837</v>
      </c>
      <c r="D164" s="65">
        <f>WACC!$B$52</f>
        <v>15663.257426548837</v>
      </c>
    </row>
    <row r="165" spans="1:19" x14ac:dyDescent="0.3">
      <c r="A165" s="27" t="s">
        <v>469</v>
      </c>
      <c r="B165" s="102">
        <f>B163/B164</f>
        <v>29.19258732777379</v>
      </c>
      <c r="C165" s="102">
        <f>C163/C164</f>
        <v>31.796640207298942</v>
      </c>
      <c r="D165" s="102">
        <f>D163/D164</f>
        <v>30.494613767536368</v>
      </c>
    </row>
    <row r="166" spans="1:19" x14ac:dyDescent="0.3">
      <c r="A166" s="1" t="s">
        <v>470</v>
      </c>
      <c r="B166" s="103">
        <f>Dashboard!$B$5</f>
        <v>58.9</v>
      </c>
      <c r="C166" s="103">
        <f>Dashboard!$B$5</f>
        <v>58.9</v>
      </c>
      <c r="D166" s="103">
        <f>Dashboard!$B$5</f>
        <v>58.9</v>
      </c>
    </row>
    <row r="167" spans="1:19" x14ac:dyDescent="0.3">
      <c r="A167" s="10" t="s">
        <v>471</v>
      </c>
      <c r="B167" s="104">
        <f>B165/B166-1</f>
        <v>-0.50437033399365383</v>
      </c>
      <c r="C167" s="104">
        <f>C165/C166-1</f>
        <v>-0.46015890989305697</v>
      </c>
      <c r="D167" s="104">
        <f>D165/D166-1</f>
        <v>-0.4822646219433554</v>
      </c>
    </row>
    <row r="168" spans="1:19" x14ac:dyDescent="0.3">
      <c r="A168" s="3" t="s">
        <v>472</v>
      </c>
      <c r="B168" s="105">
        <f>B157/S114</f>
        <v>8.5806099650061647</v>
      </c>
    </row>
    <row r="169" spans="1:19" x14ac:dyDescent="0.3">
      <c r="A169" s="3" t="s">
        <v>473</v>
      </c>
      <c r="C169" s="31">
        <f>(C157*$E$39-S140)/(C157+S140)</f>
        <v>4.0635243533922505E-2</v>
      </c>
    </row>
    <row r="170" spans="1:19" x14ac:dyDescent="0.3">
      <c r="A170" s="3" t="s">
        <v>474</v>
      </c>
      <c r="B170" s="85" t="str">
        <f>IF(B161&gt;0.75,"RED &gt;75%",IF(B161&gt;0.6,"YELLOW 60-75%","OK &lt;60%"))</f>
        <v>OK &lt;60%</v>
      </c>
      <c r="C170" s="85" t="str">
        <f>IF(C161&gt;0.75,"RED &gt;75%",IF(C161&gt;0.6,"YELLOW 60-75%","OK &lt;60%"))</f>
        <v>OK &lt;60%</v>
      </c>
    </row>
    <row r="171" spans="1:19" ht="3" customHeight="1" x14ac:dyDescent="0.3"/>
    <row r="172" spans="1:19" x14ac:dyDescent="0.3">
      <c r="A172" s="5" t="s">
        <v>475</v>
      </c>
      <c r="B172" s="5"/>
      <c r="C172" s="5"/>
      <c r="D172" s="5"/>
      <c r="E172" s="5"/>
      <c r="F172" s="5"/>
      <c r="G172" s="5"/>
      <c r="H172" s="5"/>
      <c r="I172" s="5"/>
      <c r="J172" s="5"/>
      <c r="K172" s="5"/>
      <c r="L172" s="5"/>
      <c r="M172" s="5"/>
      <c r="N172" s="5"/>
      <c r="O172" s="5"/>
      <c r="P172" s="5"/>
      <c r="Q172" s="5"/>
      <c r="R172" s="5"/>
      <c r="S172" s="5"/>
    </row>
    <row r="173" spans="1:19" x14ac:dyDescent="0.3">
      <c r="A173" s="6" t="s">
        <v>253</v>
      </c>
      <c r="B173" s="7" t="s">
        <v>254</v>
      </c>
      <c r="C173" s="7"/>
      <c r="D173" s="7"/>
      <c r="E173" s="7"/>
      <c r="F173" s="7"/>
    </row>
    <row r="174" spans="1:19" x14ac:dyDescent="0.3">
      <c r="A174" s="1" t="s">
        <v>476</v>
      </c>
      <c r="B174" s="30">
        <f>B166*B164</f>
        <v>922565.86242372647</v>
      </c>
    </row>
    <row r="175" spans="1:19" x14ac:dyDescent="0.3">
      <c r="A175" s="1" t="s">
        <v>722</v>
      </c>
      <c r="B175" s="30">
        <f>B174/Actuals!$B$15-B162</f>
        <v>734011.17794220312</v>
      </c>
    </row>
    <row r="176" spans="1:19" x14ac:dyDescent="0.3">
      <c r="A176" s="1" t="s">
        <v>477</v>
      </c>
      <c r="B176" s="30">
        <f>B175-B155</f>
        <v>585309.31991170207</v>
      </c>
    </row>
    <row r="177" spans="1:8" x14ac:dyDescent="0.3">
      <c r="A177" s="1" t="s">
        <v>478</v>
      </c>
      <c r="B177" s="30">
        <f>B176*(1+$E$38)^B158</f>
        <v>3611546.7785842726</v>
      </c>
    </row>
    <row r="178" spans="1:8" x14ac:dyDescent="0.3">
      <c r="A178" s="10" t="s">
        <v>479</v>
      </c>
      <c r="B178" s="58">
        <f>(B177*$E$39-S140)/(B177+S140)</f>
        <v>8.1350176095393037E-2</v>
      </c>
      <c r="C178" s="10"/>
      <c r="D178" s="10"/>
    </row>
    <row r="179" spans="1:8" x14ac:dyDescent="0.3">
      <c r="A179" s="10" t="s">
        <v>480</v>
      </c>
      <c r="B179" s="106">
        <f>B177/S114</f>
        <v>36.181362142411913</v>
      </c>
      <c r="C179" s="10"/>
      <c r="D179" s="10"/>
    </row>
    <row r="180" spans="1:8" x14ac:dyDescent="0.3">
      <c r="A180" s="3" t="s">
        <v>481</v>
      </c>
      <c r="B180" s="31">
        <f>B176/B175</f>
        <v>0.79741199793797957</v>
      </c>
    </row>
    <row r="181" spans="1:8" x14ac:dyDescent="0.3">
      <c r="A181" s="1" t="s">
        <v>482</v>
      </c>
      <c r="B181" s="30">
        <f>J114*$E$36+B162+E148+SUM(F140:J140)</f>
        <v>719733.61747158854</v>
      </c>
    </row>
    <row r="182" spans="1:8" x14ac:dyDescent="0.3">
      <c r="A182" s="1" t="s">
        <v>483</v>
      </c>
      <c r="B182" s="101">
        <f>B181/B164</f>
        <v>45.950442993528135</v>
      </c>
    </row>
    <row r="183" spans="1:8" x14ac:dyDescent="0.3">
      <c r="A183" s="1" t="s">
        <v>717</v>
      </c>
      <c r="B183" s="52">
        <f>(Actuals!$B$12-Actuals!$B$11)/365</f>
        <v>5.1808219178082195</v>
      </c>
    </row>
    <row r="184" spans="1:8" x14ac:dyDescent="0.3">
      <c r="A184" s="27" t="s">
        <v>484</v>
      </c>
      <c r="B184" s="107">
        <f>(B182/B166)^(1/B183)-1</f>
        <v>-4.6792280145903975E-2</v>
      </c>
      <c r="C184" s="27"/>
      <c r="D184" s="27"/>
    </row>
    <row r="185" spans="1:8" x14ac:dyDescent="0.3">
      <c r="A185" s="1" t="s">
        <v>485</v>
      </c>
      <c r="B185" s="105">
        <f>B182/B166</f>
        <v>0.78014334454207357</v>
      </c>
    </row>
    <row r="186" spans="1:8" ht="3" customHeight="1" x14ac:dyDescent="0.3"/>
    <row r="187" spans="1:8" x14ac:dyDescent="0.3">
      <c r="A187" s="5" t="s">
        <v>486</v>
      </c>
      <c r="B187" s="5"/>
      <c r="C187" s="5"/>
      <c r="D187" s="5"/>
      <c r="E187" s="5"/>
      <c r="F187" s="5"/>
    </row>
    <row r="188" spans="1:8" x14ac:dyDescent="0.3">
      <c r="A188" s="6" t="s">
        <v>487</v>
      </c>
      <c r="B188" s="141">
        <f>$E$35-2*$H$188</f>
        <v>1.5000000000000001E-2</v>
      </c>
      <c r="C188" s="141">
        <f>$E$35-$H$188</f>
        <v>0.02</v>
      </c>
      <c r="D188" s="141">
        <f>$E$35</f>
        <v>2.5000000000000001E-2</v>
      </c>
      <c r="E188" s="141">
        <f>$E$35+$H$188</f>
        <v>3.0000000000000002E-2</v>
      </c>
      <c r="F188" s="141">
        <f>$E$35+2*$H$188</f>
        <v>3.5000000000000003E-2</v>
      </c>
      <c r="G188" s="3" t="s">
        <v>718</v>
      </c>
      <c r="H188" s="42">
        <v>5.0000000000000001E-3</v>
      </c>
    </row>
    <row r="189" spans="1:8" x14ac:dyDescent="0.3">
      <c r="A189" s="109">
        <f>$E$38-2*$H$189</f>
        <v>0.11367493162419763</v>
      </c>
      <c r="B189" s="101" cm="1">
        <f t="array" ref="B189">(SUMPRODUCT($E$148:$S$148,(1+$A189)^(-$E$147:$S$147))+$S$140*(1+B$188)/(($A189+$E$39-$E$38)-B$188)*(1+$A189)^(-$B$158)+$B$162)*Actuals!$B$15/$B$164</f>
        <v>35.447145828941302</v>
      </c>
      <c r="C189" s="101" cm="1">
        <f t="array" ref="C189">(SUMPRODUCT($E$148:$S$148,(1+$A189)^(-$E$147:$S$147))+$S$140*(1+C$188)/(($A189+$E$39-$E$38)-C$188)*(1+$A189)^(-$B$158)+$B$162)*Actuals!$B$15/$B$164</f>
        <v>36.655145351783659</v>
      </c>
      <c r="D189" s="101" cm="1">
        <f t="array" ref="D189">(SUMPRODUCT($E$148:$S$148,(1+$A189)^(-$E$147:$S$147))+$S$140*(1+D$188)/(($A189+$E$39-$E$38)-D$188)*(1+$A189)^(-$B$158)+$B$162)*Actuals!$B$15/$B$164</f>
        <v>38.082172091864912</v>
      </c>
      <c r="E189" s="101" cm="1">
        <f t="array" ref="E189">(SUMPRODUCT($E$148:$S$148,(1+$A189)^(-$E$147:$S$147))+$S$140*(1+E$188)/(($A189+$E$39-$E$38)-E$188)*(1+$A189)^(-$B$158)+$B$162)*Actuals!$B$15/$B$164</f>
        <v>39.793733837592207</v>
      </c>
      <c r="F189" s="101" cm="1">
        <f t="array" ref="F189">(SUMPRODUCT($E$148:$S$148,(1+$A189)^(-$E$147:$S$147))+$S$140*(1+F$188)/(($A189+$E$39-$E$38)-F$188)*(1+$A189)^(-$B$158)+$B$162)*Actuals!$B$15/$B$164</f>
        <v>41.884354333675986</v>
      </c>
      <c r="G189" s="3" t="s">
        <v>719</v>
      </c>
      <c r="H189" s="42">
        <v>0.01</v>
      </c>
    </row>
    <row r="190" spans="1:8" x14ac:dyDescent="0.3">
      <c r="A190" s="109">
        <f>$E$38-$H$189</f>
        <v>0.12367493162419764</v>
      </c>
      <c r="B190" s="101" cm="1">
        <f t="array" ref="B190">(SUMPRODUCT($E$148:$S$148,(1+$A190)^(-$E$147:$S$147))+$S$140*(1+B$188)/(($A190+$E$39-$E$38)-B$188)*(1+$A190)^(-$B$158)+$B$162)*Actuals!$B$15/$B$164</f>
        <v>31.229029204911832</v>
      </c>
      <c r="C190" s="101" cm="1">
        <f t="array" ref="C190">(SUMPRODUCT($E$148:$S$148,(1+$A190)^(-$E$147:$S$147))+$S$140*(1+C$188)/(($A190+$E$39-$E$38)-C$188)*(1+$A190)^(-$B$158)+$B$162)*Actuals!$B$15/$B$164</f>
        <v>32.025114157429911</v>
      </c>
      <c r="D190" s="101" cm="1">
        <f t="array" ref="D190">(SUMPRODUCT($E$148:$S$148,(1+$A190)^(-$E$147:$S$147))+$S$140*(1+D$188)/(($A190+$E$39-$E$38)-D$188)*(1+$A190)^(-$B$158)+$B$162)*Actuals!$B$15/$B$164</f>
        <v>32.943386218947701</v>
      </c>
      <c r="E190" s="101" cm="1">
        <f t="array" ref="E190">(SUMPRODUCT($E$148:$S$148,(1+$A190)^(-$E$147:$S$147))+$S$140*(1+E$188)/(($A190+$E$39-$E$38)-E$188)*(1+$A190)^(-$B$158)+$B$162)*Actuals!$B$15/$B$164</f>
        <v>34.01431450035404</v>
      </c>
      <c r="F190" s="101" cm="1">
        <f t="array" ref="F190">(SUMPRODUCT($E$148:$S$148,(1+$A190)^(-$E$147:$S$147))+$S$140*(1+F$188)/(($A190+$E$39-$E$38)-F$188)*(1+$A190)^(-$B$158)+$B$162)*Actuals!$B$15/$B$164</f>
        <v>35.279417064865179</v>
      </c>
      <c r="G190" s="3"/>
    </row>
    <row r="191" spans="1:8" x14ac:dyDescent="0.3">
      <c r="A191" s="109">
        <f>$E$38</f>
        <v>0.13367493162419763</v>
      </c>
      <c r="B191" s="101" cm="1">
        <f t="array" ref="B191">(SUMPRODUCT($E$148:$S$148,(1+$A191)^(-$E$147:$S$147))+$S$140*(1+B$188)/(($A191+$E$39-$E$38)-B$188)*(1+$A191)^(-$B$158)+$B$162)*Actuals!$B$15/$B$164</f>
        <v>28.028483764491853</v>
      </c>
      <c r="C191" s="101" cm="1">
        <f t="array" ref="C191">(SUMPRODUCT($E$148:$S$148,(1+$A191)^(-$E$147:$S$147))+$S$140*(1+C$188)/(($A191+$E$39-$E$38)-C$188)*(1+$A191)^(-$B$158)+$B$162)*Actuals!$B$15/$B$164</f>
        <v>28.57422672370549</v>
      </c>
      <c r="D191" s="168" cm="1">
        <f t="array" ref="D191">(SUMPRODUCT($E$148:$S$148,(1+$A191)^(-$E$147:$S$147))+$S$140*(1+D$188)/(($A191+$E$39-$E$38)-D$188)*(1+$A191)^(-$B$158)+$B$162)*Actuals!$B$15/$B$164</f>
        <v>29.192587327773783</v>
      </c>
      <c r="E191" s="101" cm="1">
        <f t="array" ref="E191">(SUMPRODUCT($E$148:$S$148,(1+$A191)^(-$E$147:$S$147))+$S$140*(1+E$188)/(($A191+$E$39-$E$38)-E$188)*(1+$A191)^(-$B$158)+$B$162)*Actuals!$B$15/$B$164</f>
        <v>29.899092576057754</v>
      </c>
      <c r="F191" s="101" cm="1">
        <f t="array" ref="F191">(SUMPRODUCT($E$148:$S$148,(1+$A191)^(-$E$147:$S$147))+$S$140*(1+F$188)/(($A191+$E$39-$E$38)-F$188)*(1+$A191)^(-$B$158)+$B$162)*Actuals!$B$15/$B$164</f>
        <v>30.714035791304774</v>
      </c>
      <c r="G191" s="3"/>
    </row>
    <row r="192" spans="1:8" x14ac:dyDescent="0.3">
      <c r="A192" s="109">
        <f>$E$38+$H$189</f>
        <v>0.14367493162419764</v>
      </c>
      <c r="B192" s="101" cm="1">
        <f t="array" ref="B192">(SUMPRODUCT($E$148:$S$148,(1+$A192)^(-$E$147:$S$147))+$S$140*(1+B$188)/(($A192+$E$39-$E$38)-B$188)*(1+$A192)^(-$B$158)+$B$162)*Actuals!$B$15/$B$164</f>
        <v>25.523374005996693</v>
      </c>
      <c r="C192" s="101" cm="1">
        <f t="array" ref="C192">(SUMPRODUCT($E$148:$S$148,(1+$A192)^(-$E$147:$S$147))+$S$140*(1+C$188)/(($A192+$E$39-$E$38)-C$188)*(1+$A192)^(-$B$158)+$B$162)*Actuals!$B$15/$B$164</f>
        <v>25.909132385958035</v>
      </c>
      <c r="D192" s="101" cm="1">
        <f t="array" ref="D192">(SUMPRODUCT($E$148:$S$148,(1+$A192)^(-$E$147:$S$147))+$S$140*(1+D$188)/(($A192+$E$39-$E$38)-D$188)*(1+$A192)^(-$B$158)+$B$162)*Actuals!$B$15/$B$164</f>
        <v>26.340192592800712</v>
      </c>
      <c r="E192" s="101" cm="1">
        <f t="array" ref="E192">(SUMPRODUCT($E$148:$S$148,(1+$A192)^(-$E$147:$S$147))+$S$140*(1+E$188)/(($A192+$E$39-$E$38)-E$188)*(1+$A192)^(-$B$158)+$B$162)*Actuals!$B$15/$B$164</f>
        <v>26.825032511344002</v>
      </c>
      <c r="F192" s="101" cm="1">
        <f t="array" ref="F192">(SUMPRODUCT($E$148:$S$148,(1+$A192)^(-$E$147:$S$147))+$S$140*(1+F$188)/(($A192+$E$39-$E$38)-F$188)*(1+$A192)^(-$B$158)+$B$162)*Actuals!$B$15/$B$164</f>
        <v>27.374386194878181</v>
      </c>
      <c r="G192" s="3"/>
    </row>
    <row r="193" spans="1:8" x14ac:dyDescent="0.3">
      <c r="A193" s="109">
        <f>$E$38+2*$H$189</f>
        <v>0.15367493162419762</v>
      </c>
      <c r="B193" s="101" cm="1">
        <f t="array" ref="B193">(SUMPRODUCT($E$148:$S$148,(1+$A193)^(-$E$147:$S$147))+$S$140*(1+B$188)/(($A193+$E$39-$E$38)-B$188)*(1+$A193)^(-$B$158)+$B$162)*Actuals!$B$15/$B$164</f>
        <v>23.514215764851564</v>
      </c>
      <c r="C193" s="101" cm="1">
        <f t="array" ref="C193">(SUMPRODUCT($E$148:$S$148,(1+$A193)^(-$E$147:$S$147))+$S$140*(1+C$188)/(($A193+$E$39-$E$38)-C$188)*(1+$A193)^(-$B$158)+$B$162)*Actuals!$B$15/$B$164</f>
        <v>23.793656002534195</v>
      </c>
      <c r="D193" s="101" cm="1">
        <f t="array" ref="D193">(SUMPRODUCT($E$148:$S$148,(1+$A193)^(-$E$147:$S$147))+$S$140*(1+D$188)/(($A193+$E$39-$E$38)-D$188)*(1+$A193)^(-$B$158)+$B$162)*Actuals!$B$15/$B$164</f>
        <v>24.102463723158248</v>
      </c>
      <c r="E193" s="101" cm="1">
        <f t="array" ref="E193">(SUMPRODUCT($E$148:$S$148,(1+$A193)^(-$E$147:$S$147))+$S$140*(1+E$188)/(($A193+$E$39-$E$38)-E$188)*(1+$A193)^(-$B$158)+$B$162)*Actuals!$B$15/$B$164</f>
        <v>24.44552520373669</v>
      </c>
      <c r="F193" s="101" cm="1">
        <f t="array" ref="F193">(SUMPRODUCT($E$148:$S$148,(1+$A193)^(-$E$147:$S$147))+$S$140*(1+F$188)/(($A193+$E$39-$E$38)-F$188)*(1+$A193)^(-$B$158)+$B$162)*Actuals!$B$15/$B$164</f>
        <v>24.828874368549947</v>
      </c>
      <c r="G193" s="3"/>
    </row>
    <row r="194" spans="1:8" ht="3" customHeight="1" x14ac:dyDescent="0.3">
      <c r="G194" s="3"/>
    </row>
    <row r="195" spans="1:8" x14ac:dyDescent="0.3">
      <c r="A195" s="5" t="s">
        <v>488</v>
      </c>
      <c r="B195" s="5"/>
      <c r="C195" s="5"/>
      <c r="D195" s="5"/>
      <c r="E195" s="5"/>
      <c r="F195" s="5"/>
      <c r="G195" s="3"/>
    </row>
    <row r="196" spans="1:8" x14ac:dyDescent="0.3">
      <c r="A196" s="6" t="s">
        <v>489</v>
      </c>
      <c r="B196" s="142">
        <f>$E$36-2*$H$196</f>
        <v>7</v>
      </c>
      <c r="C196" s="142">
        <f>$E$36-$H$196</f>
        <v>9</v>
      </c>
      <c r="D196" s="142">
        <f>$E$36</f>
        <v>11</v>
      </c>
      <c r="E196" s="142">
        <f>$E$36+$H$196</f>
        <v>13</v>
      </c>
      <c r="F196" s="142">
        <f>$E$36+2*$H$196</f>
        <v>15</v>
      </c>
      <c r="G196" s="3" t="s">
        <v>720</v>
      </c>
      <c r="H196" s="148">
        <v>2</v>
      </c>
    </row>
    <row r="197" spans="1:8" x14ac:dyDescent="0.3">
      <c r="A197" s="109">
        <f>$E$38-2*$H$189</f>
        <v>0.11367493162419763</v>
      </c>
      <c r="B197" s="101" cm="1">
        <f t="array" ref="B197">(SUMPRODUCT($E$148:$S$148,(1+$A197)^(-$E$147:$S$147))+$S$114*B$196*(1+$A197)^(-$B$158)+$B$162)*Actuals!$B$15/$B$164</f>
        <v>31.544295508614937</v>
      </c>
      <c r="C197" s="101" cm="1">
        <f t="array" ref="C197">(SUMPRODUCT($E$148:$S$148,(1+$A197)^(-$E$147:$S$147))+$S$114*C$196*(1+$A197)^(-$B$158)+$B$162)*Actuals!$B$15/$B$164</f>
        <v>34.331007693099664</v>
      </c>
      <c r="D197" s="101" cm="1">
        <f t="array" ref="D197">(SUMPRODUCT($E$148:$S$148,(1+$A197)^(-$E$147:$S$147))+$S$114*D$196*(1+$A197)^(-$B$158)+$B$162)*Actuals!$B$15/$B$164</f>
        <v>37.117719877584399</v>
      </c>
      <c r="E197" s="101" cm="1">
        <f t="array" ref="E197">(SUMPRODUCT($E$148:$S$148,(1+$A197)^(-$E$147:$S$147))+$S$114*E$196*(1+$A197)^(-$B$158)+$B$162)*Actuals!$B$15/$B$164</f>
        <v>39.904432062069134</v>
      </c>
      <c r="F197" s="101" cm="1">
        <f t="array" ref="F197">(SUMPRODUCT($E$148:$S$148,(1+$A197)^(-$E$147:$S$147))+$S$114*F$196*(1+$A197)^(-$B$158)+$B$162)*Actuals!$B$15/$B$164</f>
        <v>42.691144246553861</v>
      </c>
    </row>
    <row r="198" spans="1:8" x14ac:dyDescent="0.3">
      <c r="A198" s="109">
        <f>$E$38-$H$189</f>
        <v>0.12367493162419764</v>
      </c>
      <c r="B198" s="101" cm="1">
        <f t="array" ref="B198">(SUMPRODUCT($E$148:$S$148,(1+$A198)^(-$E$147:$S$147))+$S$114*B$196*(1+$A198)^(-$B$158)+$B$162)*Actuals!$B$15/$B$164</f>
        <v>29.396945138883666</v>
      </c>
      <c r="C198" s="101" cm="1">
        <f t="array" ref="C198">(SUMPRODUCT($E$148:$S$148,(1+$A198)^(-$E$147:$S$147))+$S$114*C$196*(1+$A198)^(-$B$158)+$B$162)*Actuals!$B$15/$B$164</f>
        <v>31.844788159224024</v>
      </c>
      <c r="D198" s="101" cm="1">
        <f t="array" ref="D198">(SUMPRODUCT($E$148:$S$148,(1+$A198)^(-$E$147:$S$147))+$S$114*D$196*(1+$A198)^(-$B$158)+$B$162)*Actuals!$B$15/$B$164</f>
        <v>34.292631179564374</v>
      </c>
      <c r="E198" s="101" cm="1">
        <f t="array" ref="E198">(SUMPRODUCT($E$148:$S$148,(1+$A198)^(-$E$147:$S$147))+$S$114*E$196*(1+$A198)^(-$B$158)+$B$162)*Actuals!$B$15/$B$164</f>
        <v>36.740474199904732</v>
      </c>
      <c r="F198" s="101" cm="1">
        <f t="array" ref="F198">(SUMPRODUCT($E$148:$S$148,(1+$A198)^(-$E$147:$S$147))+$S$114*F$196*(1+$A198)^(-$B$158)+$B$162)*Actuals!$B$15/$B$164</f>
        <v>39.188317220245082</v>
      </c>
    </row>
    <row r="199" spans="1:8" x14ac:dyDescent="0.3">
      <c r="A199" s="109">
        <f>$E$38</f>
        <v>0.13367493162419763</v>
      </c>
      <c r="B199" s="101" cm="1">
        <f t="array" ref="B199">(SUMPRODUCT($E$148:$S$148,(1+$A199)^(-$E$147:$S$147))+$S$114*B$196*(1+$A199)^(-$B$158)+$B$162)*Actuals!$B$15/$B$164</f>
        <v>27.491335412519476</v>
      </c>
      <c r="C199" s="101" cm="1">
        <f t="array" ref="C199">(SUMPRODUCT($E$148:$S$148,(1+$A199)^(-$E$147:$S$147))+$S$114*C$196*(1+$A199)^(-$B$158)+$B$162)*Actuals!$B$15/$B$164</f>
        <v>29.643987809909213</v>
      </c>
      <c r="D199" s="168" cm="1">
        <f t="array" ref="D199">(SUMPRODUCT($E$148:$S$148,(1+$A199)^(-$E$147:$S$147))+$S$114*D$196*(1+$A199)^(-$B$158)+$B$162)*Actuals!$B$15/$B$164</f>
        <v>31.796640207298942</v>
      </c>
      <c r="E199" s="101" cm="1">
        <f t="array" ref="E199">(SUMPRODUCT($E$148:$S$148,(1+$A199)^(-$E$147:$S$147))+$S$114*E$196*(1+$A199)^(-$B$158)+$B$162)*Actuals!$B$15/$B$164</f>
        <v>33.949292604688679</v>
      </c>
      <c r="F199" s="101" cm="1">
        <f t="array" ref="F199">(SUMPRODUCT($E$148:$S$148,(1+$A199)^(-$E$147:$S$147))+$S$114*F$196*(1+$A199)^(-$B$158)+$B$162)*Actuals!$B$15/$B$164</f>
        <v>36.101945002078423</v>
      </c>
    </row>
    <row r="200" spans="1:8" x14ac:dyDescent="0.3">
      <c r="A200" s="109">
        <f>$E$38+$H$189</f>
        <v>0.14367493162419764</v>
      </c>
      <c r="B200" s="101" cm="1">
        <f t="array" ref="B200">(SUMPRODUCT($E$148:$S$148,(1+$A200)^(-$E$147:$S$147))+$S$114*B$196*(1+$A200)^(-$B$158)+$B$162)*Actuals!$B$15/$B$164</f>
        <v>25.797275903797143</v>
      </c>
      <c r="C200" s="101" cm="1">
        <f t="array" ref="C200">(SUMPRODUCT($E$148:$S$148,(1+$A200)^(-$E$147:$S$147))+$S$114*C$196*(1+$A200)^(-$B$158)+$B$162)*Actuals!$B$15/$B$164</f>
        <v>27.692473014371114</v>
      </c>
      <c r="D200" s="101" cm="1">
        <f t="array" ref="D200">(SUMPRODUCT($E$148:$S$148,(1+$A200)^(-$E$147:$S$147))+$S$114*D$196*(1+$A200)^(-$B$158)+$B$162)*Actuals!$B$15/$B$164</f>
        <v>29.587670124945085</v>
      </c>
      <c r="E200" s="101" cm="1">
        <f t="array" ref="E200">(SUMPRODUCT($E$148:$S$148,(1+$A200)^(-$E$147:$S$147))+$S$114*E$196*(1+$A200)^(-$B$158)+$B$162)*Actuals!$B$15/$B$164</f>
        <v>31.482867235519052</v>
      </c>
      <c r="F200" s="101" cm="1">
        <f t="array" ref="F200">(SUMPRODUCT($E$148:$S$148,(1+$A200)^(-$E$147:$S$147))+$S$114*F$196*(1+$A200)^(-$B$158)+$B$162)*Actuals!$B$15/$B$164</f>
        <v>33.378064346093019</v>
      </c>
    </row>
    <row r="201" spans="1:8" x14ac:dyDescent="0.3">
      <c r="A201" s="109">
        <f>$E$38+2*$H$189</f>
        <v>0.15367493162419762</v>
      </c>
      <c r="B201" s="101" cm="1">
        <f t="array" ref="B201">(SUMPRODUCT($E$148:$S$148,(1+$A201)^(-$E$147:$S$147))+$S$114*B$196*(1+$A201)^(-$B$158)+$B$162)*Actuals!$B$15/$B$164</f>
        <v>24.288653725970658</v>
      </c>
      <c r="C201" s="101" cm="1">
        <f t="array" ref="C201">(SUMPRODUCT($E$148:$S$148,(1+$A201)^(-$E$147:$S$147))+$S$114*C$196*(1+$A201)^(-$B$158)+$B$162)*Actuals!$B$15/$B$164</f>
        <v>25.959038275801497</v>
      </c>
      <c r="D201" s="101" cm="1">
        <f t="array" ref="D201">(SUMPRODUCT($E$148:$S$148,(1+$A201)^(-$E$147:$S$147))+$S$114*D$196*(1+$A201)^(-$B$158)+$B$162)*Actuals!$B$15/$B$164</f>
        <v>27.629422825632343</v>
      </c>
      <c r="E201" s="101" cm="1">
        <f t="array" ref="E201">(SUMPRODUCT($E$148:$S$148,(1+$A201)^(-$E$147:$S$147))+$S$114*E$196*(1+$A201)^(-$B$158)+$B$162)*Actuals!$B$15/$B$164</f>
        <v>29.299807375463182</v>
      </c>
      <c r="F201" s="101" cm="1">
        <f t="array" ref="F201">(SUMPRODUCT($E$148:$S$148,(1+$A201)^(-$E$147:$S$147))+$S$114*F$196*(1+$A201)^(-$B$158)+$B$162)*Actuals!$B$15/$B$164</f>
        <v>30.970191925294028</v>
      </c>
    </row>
    <row r="202" spans="1:8" ht="3" customHeight="1" x14ac:dyDescent="0.3"/>
    <row r="203" spans="1:8" x14ac:dyDescent="0.3">
      <c r="A203" s="183" t="s">
        <v>932</v>
      </c>
    </row>
  </sheetData>
  <sheetProtection algorithmName="SHA-512" hashValue="yo7nQSjl4KTRDupmrr6hBOqS6bR8PqOBumyLxSZwYoyeGoLz2yO5p5/Llj+bYWES4Xpm21bLkzgvytjrOe/fbg==" saltValue="tyW3jyWa1n5VU5GE0G6Tlg==" spinCount="100000" sheet="1" objects="1" scenarios="1" sort="0" autoFilter="0"/>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263FF-BA89-43E4-BC54-5D9F8C14EE66}">
  <sheetPr>
    <tabColor rgb="FFD4A27F"/>
  </sheetPr>
  <dimension ref="A1:Z203"/>
  <sheetViews>
    <sheetView showGridLines="0" workbookViewId="0">
      <pane xSplit="1" ySplit="6" topLeftCell="B7" activePane="bottomRight" state="frozen"/>
      <selection pane="topRight" activeCell="B1" sqref="B1"/>
      <selection pane="bottomLeft" activeCell="A7" sqref="A7"/>
      <selection pane="bottomRight"/>
    </sheetView>
  </sheetViews>
  <sheetFormatPr defaultRowHeight="14.4" x14ac:dyDescent="0.3"/>
  <cols>
    <col min="1" max="1" width="61.109375" style="1" customWidth="1"/>
    <col min="2" max="19" width="14.77734375" style="1" customWidth="1"/>
    <col min="20" max="26" width="8.88671875" style="1"/>
  </cols>
  <sheetData>
    <row r="1" spans="1:19" ht="30" customHeight="1" x14ac:dyDescent="0.4">
      <c r="A1" s="2" t="s">
        <v>873</v>
      </c>
    </row>
    <row r="2" spans="1:19" x14ac:dyDescent="0.3">
      <c r="A2" s="24" t="s">
        <v>700</v>
      </c>
    </row>
    <row r="3" spans="1:19" x14ac:dyDescent="0.3">
      <c r="A3" s="4" t="s">
        <v>451</v>
      </c>
    </row>
    <row r="5" spans="1:19" ht="18" customHeight="1" x14ac:dyDescent="0.35">
      <c r="A5" s="10" t="s">
        <v>452</v>
      </c>
      <c r="B5" s="100">
        <v>3</v>
      </c>
      <c r="C5" s="10" t="str">
        <f>CHOOSE(B5,"◀  BEAR","◀  BASE","◀  BULL")</f>
        <v>◀  BULL</v>
      </c>
      <c r="D5" s="24" t="s">
        <v>453</v>
      </c>
    </row>
    <row r="6" spans="1:19" x14ac:dyDescent="0.3">
      <c r="A6" s="6" t="s">
        <v>454</v>
      </c>
      <c r="B6" s="7" t="s">
        <v>4</v>
      </c>
      <c r="C6" s="7" t="s">
        <v>5</v>
      </c>
      <c r="D6" s="7" t="s">
        <v>6</v>
      </c>
      <c r="E6" s="7" t="s">
        <v>192</v>
      </c>
      <c r="F6" s="7" t="s">
        <v>193</v>
      </c>
      <c r="G6" s="7" t="s">
        <v>194</v>
      </c>
      <c r="H6" s="7" t="s">
        <v>195</v>
      </c>
      <c r="I6" s="7" t="s">
        <v>196</v>
      </c>
      <c r="J6" s="7" t="s">
        <v>197</v>
      </c>
      <c r="K6" s="7" t="s">
        <v>198</v>
      </c>
      <c r="L6" s="7" t="s">
        <v>199</v>
      </c>
      <c r="M6" s="7" t="s">
        <v>200</v>
      </c>
      <c r="N6" s="7" t="s">
        <v>201</v>
      </c>
      <c r="O6" s="7" t="s">
        <v>202</v>
      </c>
      <c r="P6" s="7" t="s">
        <v>203</v>
      </c>
      <c r="Q6" s="7" t="s">
        <v>204</v>
      </c>
      <c r="R6" s="7" t="s">
        <v>205</v>
      </c>
      <c r="S6" s="7" t="s">
        <v>206</v>
      </c>
    </row>
    <row r="7" spans="1:19" ht="3" customHeight="1" x14ac:dyDescent="0.3"/>
    <row r="8" spans="1:19" x14ac:dyDescent="0.3">
      <c r="A8" s="5" t="s">
        <v>329</v>
      </c>
      <c r="B8" s="5"/>
      <c r="C8" s="5"/>
      <c r="D8" s="5"/>
      <c r="E8" s="5"/>
      <c r="F8" s="5"/>
      <c r="G8" s="5"/>
      <c r="H8" s="5"/>
      <c r="I8" s="5"/>
      <c r="J8" s="5"/>
      <c r="K8" s="5"/>
      <c r="L8" s="5"/>
      <c r="M8" s="5"/>
      <c r="N8" s="5"/>
      <c r="O8" s="5"/>
      <c r="P8" s="5"/>
      <c r="Q8" s="5"/>
      <c r="R8" s="5"/>
      <c r="S8" s="5"/>
    </row>
    <row r="9" spans="1:19" x14ac:dyDescent="0.3">
      <c r="A9" s="1" t="s">
        <v>330</v>
      </c>
      <c r="B9" s="75"/>
      <c r="C9" s="75"/>
      <c r="D9" s="75"/>
      <c r="E9" s="41">
        <f>CHOOSE($B$5,Drivers!E23,Drivers!E54,Drivers!E85)</f>
        <v>0.52</v>
      </c>
      <c r="F9" s="75"/>
      <c r="G9" s="75"/>
      <c r="H9" s="75"/>
      <c r="I9" s="75"/>
      <c r="J9" s="75"/>
      <c r="K9" s="75"/>
      <c r="L9" s="75"/>
      <c r="M9" s="75"/>
      <c r="N9" s="75"/>
      <c r="O9" s="75"/>
      <c r="P9" s="75"/>
      <c r="Q9" s="75"/>
      <c r="R9" s="75"/>
      <c r="S9" s="75"/>
    </row>
    <row r="10" spans="1:19" x14ac:dyDescent="0.3">
      <c r="A10" s="1" t="s">
        <v>210</v>
      </c>
      <c r="B10" s="75"/>
      <c r="C10" s="75"/>
      <c r="D10" s="75"/>
      <c r="E10" s="41">
        <f>CHOOSE($B$5,Drivers!E24,Drivers!E55,Drivers!E86)</f>
        <v>0.35</v>
      </c>
      <c r="F10" s="75"/>
      <c r="G10" s="75"/>
      <c r="H10" s="75"/>
      <c r="I10" s="75"/>
      <c r="J10" s="75"/>
      <c r="K10" s="75"/>
      <c r="L10" s="75"/>
      <c r="M10" s="75"/>
      <c r="N10" s="75"/>
      <c r="O10" s="75"/>
      <c r="P10" s="75"/>
      <c r="Q10" s="75"/>
      <c r="R10" s="75"/>
      <c r="S10" s="75"/>
    </row>
    <row r="11" spans="1:19" x14ac:dyDescent="0.3">
      <c r="A11" s="1" t="s">
        <v>331</v>
      </c>
      <c r="B11" s="75"/>
      <c r="C11" s="75"/>
      <c r="D11" s="75"/>
      <c r="E11" s="41">
        <f>CHOOSE($B$5,Drivers!E25,Drivers!E56,Drivers!E87)</f>
        <v>0.2</v>
      </c>
      <c r="F11" s="75"/>
      <c r="G11" s="75"/>
      <c r="H11" s="75"/>
      <c r="I11" s="75"/>
      <c r="J11" s="75"/>
      <c r="K11" s="75"/>
      <c r="L11" s="75"/>
      <c r="M11" s="75"/>
      <c r="N11" s="75"/>
      <c r="O11" s="75"/>
      <c r="P11" s="75"/>
      <c r="Q11" s="75"/>
      <c r="R11" s="75"/>
      <c r="S11" s="75"/>
    </row>
    <row r="12" spans="1:19" x14ac:dyDescent="0.3">
      <c r="A12" s="1" t="s">
        <v>332</v>
      </c>
      <c r="B12" s="75"/>
      <c r="C12" s="75"/>
      <c r="D12" s="75"/>
      <c r="E12" s="75"/>
      <c r="F12" s="41">
        <f>CHOOSE($B$5,Drivers!F26,Drivers!F57,Drivers!F88)</f>
        <v>1.5</v>
      </c>
      <c r="G12" s="41">
        <f>CHOOSE($B$5,Drivers!G26,Drivers!G57,Drivers!G88)</f>
        <v>0.85</v>
      </c>
      <c r="H12" s="41">
        <f>CHOOSE($B$5,Drivers!H26,Drivers!H57,Drivers!H88)</f>
        <v>0.55000000000000004</v>
      </c>
      <c r="I12" s="41">
        <f>CHOOSE($B$5,Drivers!I26,Drivers!I57,Drivers!I88)</f>
        <v>0.4</v>
      </c>
      <c r="J12" s="41">
        <f>CHOOSE($B$5,Drivers!J26,Drivers!J57,Drivers!J88)</f>
        <v>0.3</v>
      </c>
      <c r="K12" s="41">
        <f>CHOOSE($B$5,Drivers!K26,Drivers!K57,Drivers!K88)</f>
        <v>0.24</v>
      </c>
      <c r="L12" s="41">
        <f>CHOOSE($B$5,Drivers!L26,Drivers!L57,Drivers!L88)</f>
        <v>0.19</v>
      </c>
      <c r="M12" s="41">
        <f>CHOOSE($B$5,Drivers!M26,Drivers!M57,Drivers!M88)</f>
        <v>0.15</v>
      </c>
      <c r="N12" s="41">
        <f>CHOOSE($B$5,Drivers!N26,Drivers!N57,Drivers!N88)</f>
        <v>0.12</v>
      </c>
      <c r="O12" s="41">
        <f>CHOOSE($B$5,Drivers!O26,Drivers!O57,Drivers!O88)</f>
        <v>0.1</v>
      </c>
      <c r="P12" s="41">
        <f>CHOOSE($B$5,Drivers!P26,Drivers!P57,Drivers!P88)</f>
        <v>8.5000000000000006E-2</v>
      </c>
      <c r="Q12" s="41">
        <f>CHOOSE($B$5,Drivers!Q26,Drivers!Q57,Drivers!Q88)</f>
        <v>7.0000000000000007E-2</v>
      </c>
      <c r="R12" s="41">
        <f>CHOOSE($B$5,Drivers!R26,Drivers!R57,Drivers!R88)</f>
        <v>0.06</v>
      </c>
      <c r="S12" s="41">
        <f>CHOOSE($B$5,Drivers!S26,Drivers!S57,Drivers!S88)</f>
        <v>0.05</v>
      </c>
    </row>
    <row r="13" spans="1:19" x14ac:dyDescent="0.3">
      <c r="A13" s="1" t="s">
        <v>333</v>
      </c>
      <c r="B13" s="75"/>
      <c r="C13" s="75"/>
      <c r="D13" s="75"/>
      <c r="E13" s="75"/>
      <c r="F13" s="41">
        <f>CHOOSE($B$5,Drivers!F27,Drivers!F58,Drivers!F89)</f>
        <v>1.4</v>
      </c>
      <c r="G13" s="41">
        <f>CHOOSE($B$5,Drivers!G27,Drivers!G58,Drivers!G89)</f>
        <v>0.8</v>
      </c>
      <c r="H13" s="41">
        <f>CHOOSE($B$5,Drivers!H27,Drivers!H58,Drivers!H89)</f>
        <v>0.5</v>
      </c>
      <c r="I13" s="41">
        <f>CHOOSE($B$5,Drivers!I27,Drivers!I58,Drivers!I89)</f>
        <v>0.36</v>
      </c>
      <c r="J13" s="41">
        <f>CHOOSE($B$5,Drivers!J27,Drivers!J58,Drivers!J89)</f>
        <v>0.28000000000000003</v>
      </c>
      <c r="K13" s="41">
        <f>CHOOSE($B$5,Drivers!K27,Drivers!K58,Drivers!K89)</f>
        <v>0.22</v>
      </c>
      <c r="L13" s="41">
        <f>CHOOSE($B$5,Drivers!L27,Drivers!L58,Drivers!L89)</f>
        <v>0.17</v>
      </c>
      <c r="M13" s="41">
        <f>CHOOSE($B$5,Drivers!M27,Drivers!M58,Drivers!M89)</f>
        <v>0.14000000000000001</v>
      </c>
      <c r="N13" s="41">
        <f>CHOOSE($B$5,Drivers!N27,Drivers!N58,Drivers!N89)</f>
        <v>0.11</v>
      </c>
      <c r="O13" s="41">
        <f>CHOOSE($B$5,Drivers!O27,Drivers!O58,Drivers!O89)</f>
        <v>0.09</v>
      </c>
      <c r="P13" s="41">
        <f>CHOOSE($B$5,Drivers!P27,Drivers!P58,Drivers!P89)</f>
        <v>0.08</v>
      </c>
      <c r="Q13" s="41">
        <f>CHOOSE($B$5,Drivers!Q27,Drivers!Q58,Drivers!Q89)</f>
        <v>6.5000000000000002E-2</v>
      </c>
      <c r="R13" s="41">
        <f>CHOOSE($B$5,Drivers!R27,Drivers!R58,Drivers!R89)</f>
        <v>5.5E-2</v>
      </c>
      <c r="S13" s="41">
        <f>CHOOSE($B$5,Drivers!S27,Drivers!S58,Drivers!S89)</f>
        <v>0.05</v>
      </c>
    </row>
    <row r="14" spans="1:19" x14ac:dyDescent="0.3">
      <c r="A14" s="1" t="s">
        <v>180</v>
      </c>
      <c r="B14" s="75"/>
      <c r="C14" s="75"/>
      <c r="D14" s="75"/>
      <c r="E14" s="41">
        <f>CHOOSE($B$5,Drivers!E28,Drivers!E59,Drivers!E90)</f>
        <v>0.28999999999999998</v>
      </c>
      <c r="F14" s="41">
        <f>CHOOSE($B$5,Drivers!F28,Drivers!F59,Drivers!F90)</f>
        <v>0.3</v>
      </c>
      <c r="G14" s="41">
        <f>CHOOSE($B$5,Drivers!G28,Drivers!G59,Drivers!G90)</f>
        <v>0.31</v>
      </c>
      <c r="H14" s="41">
        <f>CHOOSE($B$5,Drivers!H28,Drivers!H59,Drivers!H90)</f>
        <v>0.32</v>
      </c>
      <c r="I14" s="41">
        <f>CHOOSE($B$5,Drivers!I28,Drivers!I59,Drivers!I90)</f>
        <v>0.33</v>
      </c>
      <c r="J14" s="41">
        <f>CHOOSE($B$5,Drivers!J28,Drivers!J59,Drivers!J90)</f>
        <v>0.34</v>
      </c>
      <c r="K14" s="41">
        <f>CHOOSE($B$5,Drivers!K28,Drivers!K59,Drivers!K90)</f>
        <v>0.35</v>
      </c>
      <c r="L14" s="41">
        <f>CHOOSE($B$5,Drivers!L28,Drivers!L59,Drivers!L90)</f>
        <v>0.36</v>
      </c>
      <c r="M14" s="41">
        <f>CHOOSE($B$5,Drivers!M28,Drivers!M59,Drivers!M90)</f>
        <v>0.37</v>
      </c>
      <c r="N14" s="41">
        <f>CHOOSE($B$5,Drivers!N28,Drivers!N59,Drivers!N90)</f>
        <v>0.38</v>
      </c>
      <c r="O14" s="41">
        <f>CHOOSE($B$5,Drivers!O28,Drivers!O59,Drivers!O90)</f>
        <v>0.39</v>
      </c>
      <c r="P14" s="41">
        <f>CHOOSE($B$5,Drivers!P28,Drivers!P59,Drivers!P90)</f>
        <v>0.4</v>
      </c>
      <c r="Q14" s="41">
        <f>CHOOSE($B$5,Drivers!Q28,Drivers!Q59,Drivers!Q90)</f>
        <v>0.41</v>
      </c>
      <c r="R14" s="41">
        <f>CHOOSE($B$5,Drivers!R28,Drivers!R59,Drivers!R90)</f>
        <v>0.42</v>
      </c>
      <c r="S14" s="41">
        <f>CHOOSE($B$5,Drivers!S28,Drivers!S59,Drivers!S90)</f>
        <v>0.42</v>
      </c>
    </row>
    <row r="15" spans="1:19" x14ac:dyDescent="0.3">
      <c r="A15" s="1" t="s">
        <v>334</v>
      </c>
      <c r="B15" s="75"/>
      <c r="C15" s="75"/>
      <c r="D15" s="75"/>
      <c r="E15" s="41">
        <f>CHOOSE($B$5,Drivers!E29,Drivers!E60,Drivers!E91)</f>
        <v>10</v>
      </c>
      <c r="F15" s="41">
        <f>CHOOSE($B$5,Drivers!F29,Drivers!F60,Drivers!F91)</f>
        <v>1.3</v>
      </c>
      <c r="G15" s="41">
        <f>CHOOSE($B$5,Drivers!G29,Drivers!G60,Drivers!G91)</f>
        <v>0.8</v>
      </c>
      <c r="H15" s="41">
        <f>CHOOSE($B$5,Drivers!H29,Drivers!H60,Drivers!H91)</f>
        <v>0.5</v>
      </c>
      <c r="I15" s="41">
        <f>CHOOSE($B$5,Drivers!I29,Drivers!I60,Drivers!I91)</f>
        <v>0.35</v>
      </c>
      <c r="J15" s="41">
        <f>CHOOSE($B$5,Drivers!J29,Drivers!J60,Drivers!J91)</f>
        <v>0.26</v>
      </c>
      <c r="K15" s="41">
        <f>CHOOSE($B$5,Drivers!K29,Drivers!K60,Drivers!K91)</f>
        <v>0.2</v>
      </c>
      <c r="L15" s="41">
        <f>CHOOSE($B$5,Drivers!L29,Drivers!L60,Drivers!L91)</f>
        <v>0.15</v>
      </c>
      <c r="M15" s="41">
        <f>CHOOSE($B$5,Drivers!M29,Drivers!M60,Drivers!M91)</f>
        <v>0.12</v>
      </c>
      <c r="N15" s="41">
        <f>CHOOSE($B$5,Drivers!N29,Drivers!N60,Drivers!N91)</f>
        <v>0.09</v>
      </c>
      <c r="O15" s="41">
        <f>CHOOSE($B$5,Drivers!O29,Drivers!O60,Drivers!O91)</f>
        <v>7.0000000000000007E-2</v>
      </c>
      <c r="P15" s="41">
        <f>CHOOSE($B$5,Drivers!P29,Drivers!P60,Drivers!P91)</f>
        <v>0.06</v>
      </c>
      <c r="Q15" s="41">
        <f>CHOOSE($B$5,Drivers!Q29,Drivers!Q60,Drivers!Q91)</f>
        <v>0.05</v>
      </c>
      <c r="R15" s="41">
        <f>CHOOSE($B$5,Drivers!R29,Drivers!R60,Drivers!R91)</f>
        <v>0.04</v>
      </c>
      <c r="S15" s="41">
        <f>CHOOSE($B$5,Drivers!S29,Drivers!S60,Drivers!S91)</f>
        <v>3.5000000000000003E-2</v>
      </c>
    </row>
    <row r="16" spans="1:19" x14ac:dyDescent="0.3">
      <c r="A16" s="1" t="s">
        <v>335</v>
      </c>
      <c r="B16" s="75"/>
      <c r="C16" s="75"/>
      <c r="D16" s="75"/>
      <c r="E16" s="41">
        <f>CHOOSE($B$5,Drivers!E30,Drivers!E61,Drivers!E92)</f>
        <v>0.79</v>
      </c>
      <c r="F16" s="41">
        <f>CHOOSE($B$5,Drivers!F30,Drivers!F61,Drivers!F92)</f>
        <v>0.8</v>
      </c>
      <c r="G16" s="41">
        <f>CHOOSE($B$5,Drivers!G30,Drivers!G61,Drivers!G92)</f>
        <v>0.81</v>
      </c>
      <c r="H16" s="41">
        <f>CHOOSE($B$5,Drivers!H30,Drivers!H61,Drivers!H92)</f>
        <v>0.82</v>
      </c>
      <c r="I16" s="41">
        <f>CHOOSE($B$5,Drivers!I30,Drivers!I61,Drivers!I92)</f>
        <v>0.83</v>
      </c>
      <c r="J16" s="41">
        <f>CHOOSE($B$5,Drivers!J30,Drivers!J61,Drivers!J92)</f>
        <v>0.84</v>
      </c>
      <c r="K16" s="41">
        <f>CHOOSE($B$5,Drivers!K30,Drivers!K61,Drivers!K92)</f>
        <v>0.85</v>
      </c>
      <c r="L16" s="41">
        <f>CHOOSE($B$5,Drivers!L30,Drivers!L61,Drivers!L92)</f>
        <v>0.86</v>
      </c>
      <c r="M16" s="41">
        <f>CHOOSE($B$5,Drivers!M30,Drivers!M61,Drivers!M92)</f>
        <v>0.87</v>
      </c>
      <c r="N16" s="41">
        <f>CHOOSE($B$5,Drivers!N30,Drivers!N61,Drivers!N92)</f>
        <v>0.88</v>
      </c>
      <c r="O16" s="41">
        <f>CHOOSE($B$5,Drivers!O30,Drivers!O61,Drivers!O92)</f>
        <v>0.88</v>
      </c>
      <c r="P16" s="41">
        <f>CHOOSE($B$5,Drivers!P30,Drivers!P61,Drivers!P92)</f>
        <v>0.88</v>
      </c>
      <c r="Q16" s="41">
        <f>CHOOSE($B$5,Drivers!Q30,Drivers!Q61,Drivers!Q92)</f>
        <v>0.88</v>
      </c>
      <c r="R16" s="41">
        <f>CHOOSE($B$5,Drivers!R30,Drivers!R61,Drivers!R92)</f>
        <v>0.88</v>
      </c>
      <c r="S16" s="41">
        <f>CHOOSE($B$5,Drivers!S30,Drivers!S61,Drivers!S92)</f>
        <v>0.88</v>
      </c>
    </row>
    <row r="17" spans="1:19" x14ac:dyDescent="0.3">
      <c r="A17" s="1" t="s">
        <v>218</v>
      </c>
      <c r="B17" s="75"/>
      <c r="C17" s="75"/>
      <c r="D17" s="75"/>
      <c r="E17" s="41">
        <f>CHOOSE($B$5,Drivers!E31,Drivers!E62,Drivers!E93)</f>
        <v>0.28999999999999998</v>
      </c>
      <c r="F17" s="41">
        <f>CHOOSE($B$5,Drivers!F31,Drivers!F62,Drivers!F93)</f>
        <v>0.26500000000000001</v>
      </c>
      <c r="G17" s="41">
        <f>CHOOSE($B$5,Drivers!G31,Drivers!G62,Drivers!G93)</f>
        <v>0.25</v>
      </c>
      <c r="H17" s="41">
        <f>CHOOSE($B$5,Drivers!H31,Drivers!H62,Drivers!H93)</f>
        <v>0.23499999999999999</v>
      </c>
      <c r="I17" s="41">
        <f>CHOOSE($B$5,Drivers!I31,Drivers!I62,Drivers!I93)</f>
        <v>0.22</v>
      </c>
      <c r="J17" s="41">
        <f>CHOOSE($B$5,Drivers!J31,Drivers!J62,Drivers!J93)</f>
        <v>0.21</v>
      </c>
      <c r="K17" s="41">
        <f>CHOOSE($B$5,Drivers!K31,Drivers!K62,Drivers!K93)</f>
        <v>0.2</v>
      </c>
      <c r="L17" s="41">
        <f>CHOOSE($B$5,Drivers!L31,Drivers!L62,Drivers!L93)</f>
        <v>0.19500000000000001</v>
      </c>
      <c r="M17" s="41">
        <f>CHOOSE($B$5,Drivers!M31,Drivers!M62,Drivers!M93)</f>
        <v>0.19</v>
      </c>
      <c r="N17" s="41">
        <f>CHOOSE($B$5,Drivers!N31,Drivers!N62,Drivers!N93)</f>
        <v>0.185</v>
      </c>
      <c r="O17" s="41">
        <f>CHOOSE($B$5,Drivers!O31,Drivers!O62,Drivers!O93)</f>
        <v>0.18</v>
      </c>
      <c r="P17" s="41">
        <f>CHOOSE($B$5,Drivers!P31,Drivers!P62,Drivers!P93)</f>
        <v>0.18</v>
      </c>
      <c r="Q17" s="41">
        <f>CHOOSE($B$5,Drivers!Q31,Drivers!Q62,Drivers!Q93)</f>
        <v>0.18</v>
      </c>
      <c r="R17" s="41">
        <f>CHOOSE($B$5,Drivers!R31,Drivers!R62,Drivers!R93)</f>
        <v>0.18</v>
      </c>
      <c r="S17" s="41">
        <f>CHOOSE($B$5,Drivers!S31,Drivers!S62,Drivers!S93)</f>
        <v>0.18</v>
      </c>
    </row>
    <row r="18" spans="1:19" x14ac:dyDescent="0.3">
      <c r="A18" s="1" t="s">
        <v>219</v>
      </c>
      <c r="B18" s="75"/>
      <c r="C18" s="75"/>
      <c r="D18" s="75"/>
      <c r="E18" s="41">
        <f>CHOOSE($B$5,Drivers!E32,Drivers!E63,Drivers!E94)</f>
        <v>0.24</v>
      </c>
      <c r="F18" s="41">
        <f>CHOOSE($B$5,Drivers!F32,Drivers!F63,Drivers!F94)</f>
        <v>0.2</v>
      </c>
      <c r="G18" s="41">
        <f>CHOOSE($B$5,Drivers!G32,Drivers!G63,Drivers!G94)</f>
        <v>0.17499999999999999</v>
      </c>
      <c r="H18" s="41">
        <f>CHOOSE($B$5,Drivers!H32,Drivers!H63,Drivers!H94)</f>
        <v>0.155</v>
      </c>
      <c r="I18" s="41">
        <f>CHOOSE($B$5,Drivers!I32,Drivers!I63,Drivers!I94)</f>
        <v>0.14000000000000001</v>
      </c>
      <c r="J18" s="41">
        <f>CHOOSE($B$5,Drivers!J32,Drivers!J63,Drivers!J94)</f>
        <v>0.13</v>
      </c>
      <c r="K18" s="41">
        <f>CHOOSE($B$5,Drivers!K32,Drivers!K63,Drivers!K94)</f>
        <v>0.12</v>
      </c>
      <c r="L18" s="41">
        <f>CHOOSE($B$5,Drivers!L32,Drivers!L63,Drivers!L94)</f>
        <v>0.11</v>
      </c>
      <c r="M18" s="41">
        <f>CHOOSE($B$5,Drivers!M32,Drivers!M63,Drivers!M94)</f>
        <v>0.105</v>
      </c>
      <c r="N18" s="41">
        <f>CHOOSE($B$5,Drivers!N32,Drivers!N63,Drivers!N94)</f>
        <v>0.1</v>
      </c>
      <c r="O18" s="41">
        <f>CHOOSE($B$5,Drivers!O32,Drivers!O63,Drivers!O94)</f>
        <v>9.5000000000000001E-2</v>
      </c>
      <c r="P18" s="41">
        <f>CHOOSE($B$5,Drivers!P32,Drivers!P63,Drivers!P94)</f>
        <v>0.09</v>
      </c>
      <c r="Q18" s="41">
        <f>CHOOSE($B$5,Drivers!Q32,Drivers!Q63,Drivers!Q94)</f>
        <v>0.09</v>
      </c>
      <c r="R18" s="41">
        <f>CHOOSE($B$5,Drivers!R32,Drivers!R63,Drivers!R94)</f>
        <v>0.09</v>
      </c>
      <c r="S18" s="41">
        <f>CHOOSE($B$5,Drivers!S32,Drivers!S63,Drivers!S94)</f>
        <v>0.09</v>
      </c>
    </row>
    <row r="19" spans="1:19" x14ac:dyDescent="0.3">
      <c r="A19" s="1" t="s">
        <v>336</v>
      </c>
      <c r="B19" s="9"/>
      <c r="C19" s="9"/>
      <c r="D19" s="9"/>
      <c r="E19" s="77">
        <f>CHOOSE($B$5,Drivers!E33,Drivers!E64,Drivers!E95)</f>
        <v>12000</v>
      </c>
      <c r="F19" s="77">
        <f>CHOOSE($B$5,Drivers!F33,Drivers!F64,Drivers!F95)</f>
        <v>11760</v>
      </c>
      <c r="G19" s="77">
        <f>CHOOSE($B$5,Drivers!G33,Drivers!G64,Drivers!G95)</f>
        <v>11524.8</v>
      </c>
      <c r="H19" s="77">
        <f>CHOOSE($B$5,Drivers!H33,Drivers!H64,Drivers!H95)</f>
        <v>11294.3</v>
      </c>
      <c r="I19" s="77">
        <f>CHOOSE($B$5,Drivers!I33,Drivers!I64,Drivers!I95)</f>
        <v>11068.4</v>
      </c>
      <c r="J19" s="77">
        <f>CHOOSE($B$5,Drivers!J33,Drivers!J64,Drivers!J95)</f>
        <v>10847</v>
      </c>
      <c r="K19" s="77">
        <f>CHOOSE($B$5,Drivers!K33,Drivers!K64,Drivers!K95)</f>
        <v>10630.1</v>
      </c>
      <c r="L19" s="77">
        <f>CHOOSE($B$5,Drivers!L33,Drivers!L64,Drivers!L95)</f>
        <v>10417.5</v>
      </c>
      <c r="M19" s="77">
        <f>CHOOSE($B$5,Drivers!M33,Drivers!M64,Drivers!M95)</f>
        <v>10209.200000000001</v>
      </c>
      <c r="N19" s="77">
        <f>CHOOSE($B$5,Drivers!N33,Drivers!N64,Drivers!N95)</f>
        <v>10005</v>
      </c>
      <c r="O19" s="77">
        <f>CHOOSE($B$5,Drivers!O33,Drivers!O64,Drivers!O95)</f>
        <v>9804.9</v>
      </c>
      <c r="P19" s="77">
        <f>CHOOSE($B$5,Drivers!P33,Drivers!P64,Drivers!P95)</f>
        <v>9608.7999999999993</v>
      </c>
      <c r="Q19" s="77">
        <f>CHOOSE($B$5,Drivers!Q33,Drivers!Q64,Drivers!Q95)</f>
        <v>9416.6</v>
      </c>
      <c r="R19" s="77">
        <f>CHOOSE($B$5,Drivers!R33,Drivers!R64,Drivers!R95)</f>
        <v>9228.2999999999993</v>
      </c>
      <c r="S19" s="77">
        <f>CHOOSE($B$5,Drivers!S33,Drivers!S64,Drivers!S95)</f>
        <v>9043.7000000000007</v>
      </c>
    </row>
    <row r="20" spans="1:19" x14ac:dyDescent="0.3">
      <c r="A20" s="1" t="s">
        <v>337</v>
      </c>
      <c r="B20" s="22"/>
      <c r="C20" s="22"/>
      <c r="D20" s="22"/>
      <c r="E20" s="78">
        <f>CHOOSE($B$5,Drivers!E34,Drivers!E65,Drivers!E96)</f>
        <v>650</v>
      </c>
      <c r="F20" s="78">
        <f>CHOOSE($B$5,Drivers!F34,Drivers!F65,Drivers!F96)</f>
        <v>630.5</v>
      </c>
      <c r="G20" s="78">
        <f>CHOOSE($B$5,Drivers!G34,Drivers!G65,Drivers!G96)</f>
        <v>611.6</v>
      </c>
      <c r="H20" s="78">
        <f>CHOOSE($B$5,Drivers!H34,Drivers!H65,Drivers!H96)</f>
        <v>593.20000000000005</v>
      </c>
      <c r="I20" s="78">
        <f>CHOOSE($B$5,Drivers!I34,Drivers!I65,Drivers!I96)</f>
        <v>575.4</v>
      </c>
      <c r="J20" s="78">
        <f>CHOOSE($B$5,Drivers!J34,Drivers!J65,Drivers!J96)</f>
        <v>558.20000000000005</v>
      </c>
      <c r="K20" s="78">
        <f>CHOOSE($B$5,Drivers!K34,Drivers!K65,Drivers!K96)</f>
        <v>541.4</v>
      </c>
      <c r="L20" s="78">
        <f>CHOOSE($B$5,Drivers!L34,Drivers!L65,Drivers!L96)</f>
        <v>525.20000000000005</v>
      </c>
      <c r="M20" s="78">
        <f>CHOOSE($B$5,Drivers!M34,Drivers!M65,Drivers!M96)</f>
        <v>509.4</v>
      </c>
      <c r="N20" s="78">
        <f>CHOOSE($B$5,Drivers!N34,Drivers!N65,Drivers!N96)</f>
        <v>494.2</v>
      </c>
      <c r="O20" s="78">
        <f>CHOOSE($B$5,Drivers!O34,Drivers!O65,Drivers!O96)</f>
        <v>479.3</v>
      </c>
      <c r="P20" s="78">
        <f>CHOOSE($B$5,Drivers!P34,Drivers!P65,Drivers!P96)</f>
        <v>464.9</v>
      </c>
      <c r="Q20" s="78">
        <f>CHOOSE($B$5,Drivers!Q34,Drivers!Q65,Drivers!Q96)</f>
        <v>451</v>
      </c>
      <c r="R20" s="78">
        <f>CHOOSE($B$5,Drivers!R34,Drivers!R65,Drivers!R96)</f>
        <v>437.5</v>
      </c>
      <c r="S20" s="78">
        <f>CHOOSE($B$5,Drivers!S34,Drivers!S65,Drivers!S96)</f>
        <v>424.3</v>
      </c>
    </row>
    <row r="21" spans="1:19" x14ac:dyDescent="0.3">
      <c r="A21" s="1" t="s">
        <v>338</v>
      </c>
      <c r="B21" s="75"/>
      <c r="C21" s="75"/>
      <c r="D21" s="75"/>
      <c r="E21" s="41">
        <f>CHOOSE($B$5,Drivers!E35,Drivers!E66,Drivers!E97)</f>
        <v>0.1</v>
      </c>
      <c r="F21" s="41">
        <f>CHOOSE($B$5,Drivers!F35,Drivers!F66,Drivers!F97)</f>
        <v>0.25</v>
      </c>
      <c r="G21" s="41">
        <f>CHOOSE($B$5,Drivers!G35,Drivers!G66,Drivers!G97)</f>
        <v>0.35</v>
      </c>
      <c r="H21" s="41">
        <f>CHOOSE($B$5,Drivers!H35,Drivers!H66,Drivers!H97)</f>
        <v>0.45</v>
      </c>
      <c r="I21" s="41">
        <f>CHOOSE($B$5,Drivers!I35,Drivers!I66,Drivers!I97)</f>
        <v>0.5</v>
      </c>
      <c r="J21" s="41">
        <f>CHOOSE($B$5,Drivers!J35,Drivers!J66,Drivers!J97)</f>
        <v>0.5</v>
      </c>
      <c r="K21" s="41">
        <f>CHOOSE($B$5,Drivers!K35,Drivers!K66,Drivers!K97)</f>
        <v>0.5</v>
      </c>
      <c r="L21" s="41">
        <f>CHOOSE($B$5,Drivers!L35,Drivers!L66,Drivers!L97)</f>
        <v>0.5</v>
      </c>
      <c r="M21" s="41">
        <f>CHOOSE($B$5,Drivers!M35,Drivers!M66,Drivers!M97)</f>
        <v>0.5</v>
      </c>
      <c r="N21" s="41">
        <f>CHOOSE($B$5,Drivers!N35,Drivers!N66,Drivers!N97)</f>
        <v>0.5</v>
      </c>
      <c r="O21" s="41">
        <f>CHOOSE($B$5,Drivers!O35,Drivers!O66,Drivers!O97)</f>
        <v>0.5</v>
      </c>
      <c r="P21" s="41">
        <f>CHOOSE($B$5,Drivers!P35,Drivers!P66,Drivers!P97)</f>
        <v>0.5</v>
      </c>
      <c r="Q21" s="41">
        <f>CHOOSE($B$5,Drivers!Q35,Drivers!Q66,Drivers!Q97)</f>
        <v>0.5</v>
      </c>
      <c r="R21" s="41">
        <f>CHOOSE($B$5,Drivers!R35,Drivers!R66,Drivers!R97)</f>
        <v>0.5</v>
      </c>
      <c r="S21" s="41">
        <f>CHOOSE($B$5,Drivers!S35,Drivers!S66,Drivers!S97)</f>
        <v>0.5</v>
      </c>
    </row>
    <row r="22" spans="1:19" x14ac:dyDescent="0.3">
      <c r="A22" s="1" t="s">
        <v>339</v>
      </c>
      <c r="B22" s="9"/>
      <c r="C22" s="9"/>
      <c r="D22" s="9"/>
      <c r="E22" s="77">
        <f>CHOOSE($B$5,Drivers!E36,Drivers!E67,Drivers!E98)</f>
        <v>40000</v>
      </c>
      <c r="F22" s="77">
        <f>CHOOSE($B$5,Drivers!F36,Drivers!F67,Drivers!F98)</f>
        <v>38400</v>
      </c>
      <c r="G22" s="77">
        <f>CHOOSE($B$5,Drivers!G36,Drivers!G67,Drivers!G98)</f>
        <v>36864</v>
      </c>
      <c r="H22" s="77">
        <f>CHOOSE($B$5,Drivers!H36,Drivers!H67,Drivers!H98)</f>
        <v>35389.4</v>
      </c>
      <c r="I22" s="77">
        <f>CHOOSE($B$5,Drivers!I36,Drivers!I67,Drivers!I98)</f>
        <v>33973.9</v>
      </c>
      <c r="J22" s="77">
        <f>CHOOSE($B$5,Drivers!J36,Drivers!J67,Drivers!J98)</f>
        <v>32614.9</v>
      </c>
      <c r="K22" s="77">
        <f>CHOOSE($B$5,Drivers!K36,Drivers!K67,Drivers!K98)</f>
        <v>31310.3</v>
      </c>
      <c r="L22" s="77">
        <f>CHOOSE($B$5,Drivers!L36,Drivers!L67,Drivers!L98)</f>
        <v>30057.9</v>
      </c>
      <c r="M22" s="77">
        <f>CHOOSE($B$5,Drivers!M36,Drivers!M67,Drivers!M98)</f>
        <v>28855.599999999999</v>
      </c>
      <c r="N22" s="77">
        <f>CHOOSE($B$5,Drivers!N36,Drivers!N67,Drivers!N98)</f>
        <v>27701.4</v>
      </c>
      <c r="O22" s="77">
        <f>CHOOSE($B$5,Drivers!O36,Drivers!O67,Drivers!O98)</f>
        <v>26593.3</v>
      </c>
      <c r="P22" s="77">
        <f>CHOOSE($B$5,Drivers!P36,Drivers!P67,Drivers!P98)</f>
        <v>25529.599999999999</v>
      </c>
      <c r="Q22" s="77">
        <f>CHOOSE($B$5,Drivers!Q36,Drivers!Q67,Drivers!Q98)</f>
        <v>24508.400000000001</v>
      </c>
      <c r="R22" s="77">
        <f>CHOOSE($B$5,Drivers!R36,Drivers!R67,Drivers!R98)</f>
        <v>23528.1</v>
      </c>
      <c r="S22" s="77">
        <f>CHOOSE($B$5,Drivers!S36,Drivers!S67,Drivers!S98)</f>
        <v>22586.9</v>
      </c>
    </row>
    <row r="23" spans="1:19" x14ac:dyDescent="0.3">
      <c r="A23" s="1" t="s">
        <v>340</v>
      </c>
      <c r="B23" s="9"/>
      <c r="C23" s="9"/>
      <c r="D23" s="9"/>
      <c r="E23" s="77">
        <f>CHOOSE($B$5,Drivers!E37,Drivers!E68,Drivers!E99)</f>
        <v>2000</v>
      </c>
      <c r="F23" s="77">
        <f>CHOOSE($B$5,Drivers!F37,Drivers!F68,Drivers!F99)</f>
        <v>2040</v>
      </c>
      <c r="G23" s="77">
        <f>CHOOSE($B$5,Drivers!G37,Drivers!G68,Drivers!G99)</f>
        <v>2080.8000000000002</v>
      </c>
      <c r="H23" s="77">
        <f>CHOOSE($B$5,Drivers!H37,Drivers!H68,Drivers!H99)</f>
        <v>2122.4</v>
      </c>
      <c r="I23" s="77">
        <f>CHOOSE($B$5,Drivers!I37,Drivers!I68,Drivers!I99)</f>
        <v>2164.9</v>
      </c>
      <c r="J23" s="77">
        <f>CHOOSE($B$5,Drivers!J37,Drivers!J68,Drivers!J99)</f>
        <v>2208.1999999999998</v>
      </c>
      <c r="K23" s="77">
        <f>CHOOSE($B$5,Drivers!K37,Drivers!K68,Drivers!K99)</f>
        <v>2252.3000000000002</v>
      </c>
      <c r="L23" s="77">
        <f>CHOOSE($B$5,Drivers!L37,Drivers!L68,Drivers!L99)</f>
        <v>2297.4</v>
      </c>
      <c r="M23" s="77">
        <f>CHOOSE($B$5,Drivers!M37,Drivers!M68,Drivers!M99)</f>
        <v>2343.3000000000002</v>
      </c>
      <c r="N23" s="77">
        <f>CHOOSE($B$5,Drivers!N37,Drivers!N68,Drivers!N99)</f>
        <v>2390.1999999999998</v>
      </c>
      <c r="O23" s="77">
        <f>CHOOSE($B$5,Drivers!O37,Drivers!O68,Drivers!O99)</f>
        <v>2438</v>
      </c>
      <c r="P23" s="77">
        <f>CHOOSE($B$5,Drivers!P37,Drivers!P68,Drivers!P99)</f>
        <v>2486.6999999999998</v>
      </c>
      <c r="Q23" s="77">
        <f>CHOOSE($B$5,Drivers!Q37,Drivers!Q68,Drivers!Q99)</f>
        <v>2536.5</v>
      </c>
      <c r="R23" s="77">
        <f>CHOOSE($B$5,Drivers!R37,Drivers!R68,Drivers!R99)</f>
        <v>2587.1999999999998</v>
      </c>
      <c r="S23" s="77">
        <f>CHOOSE($B$5,Drivers!S37,Drivers!S68,Drivers!S99)</f>
        <v>2639</v>
      </c>
    </row>
    <row r="24" spans="1:19" x14ac:dyDescent="0.3">
      <c r="A24" s="1" t="s">
        <v>341</v>
      </c>
      <c r="B24" s="80"/>
      <c r="C24" s="80"/>
      <c r="D24" s="80"/>
      <c r="E24" s="81">
        <f>CHOOSE($B$5,Drivers!E38,Drivers!E69,Drivers!E100)</f>
        <v>5</v>
      </c>
      <c r="F24" s="80"/>
      <c r="G24" s="80"/>
      <c r="H24" s="80"/>
      <c r="I24" s="80"/>
      <c r="J24" s="80"/>
      <c r="K24" s="80"/>
      <c r="L24" s="80"/>
      <c r="M24" s="80"/>
      <c r="N24" s="80"/>
      <c r="O24" s="80"/>
      <c r="P24" s="80"/>
      <c r="Q24" s="80"/>
      <c r="R24" s="80"/>
      <c r="S24" s="80"/>
    </row>
    <row r="25" spans="1:19" x14ac:dyDescent="0.3">
      <c r="A25" s="1" t="s">
        <v>231</v>
      </c>
      <c r="B25" s="22"/>
      <c r="C25" s="22"/>
      <c r="D25" s="22"/>
      <c r="E25" s="78">
        <f>CHOOSE($B$5,Drivers!E39,Drivers!E70,Drivers!E101)</f>
        <v>6000</v>
      </c>
      <c r="F25" s="22"/>
      <c r="G25" s="22"/>
      <c r="H25" s="22"/>
      <c r="I25" s="22"/>
      <c r="J25" s="22"/>
      <c r="K25" s="22"/>
      <c r="L25" s="22"/>
      <c r="M25" s="22"/>
      <c r="N25" s="22"/>
      <c r="O25" s="22"/>
      <c r="P25" s="22"/>
      <c r="Q25" s="22"/>
      <c r="R25" s="22"/>
      <c r="S25" s="22"/>
    </row>
    <row r="26" spans="1:19" x14ac:dyDescent="0.3">
      <c r="A26" s="1" t="s">
        <v>342</v>
      </c>
      <c r="B26" s="75"/>
      <c r="C26" s="75"/>
      <c r="D26" s="75"/>
      <c r="E26" s="75"/>
      <c r="F26" s="41">
        <f>CHOOSE($B$5,Drivers!F40,Drivers!F71,Drivers!F102)</f>
        <v>0.35</v>
      </c>
      <c r="G26" s="41">
        <f>CHOOSE($B$5,Drivers!G40,Drivers!G71,Drivers!G102)</f>
        <v>0.28000000000000003</v>
      </c>
      <c r="H26" s="41">
        <f>CHOOSE($B$5,Drivers!H40,Drivers!H71,Drivers!H102)</f>
        <v>0.22</v>
      </c>
      <c r="I26" s="41">
        <f>CHOOSE($B$5,Drivers!I40,Drivers!I71,Drivers!I102)</f>
        <v>0.18</v>
      </c>
      <c r="J26" s="41">
        <f>CHOOSE($B$5,Drivers!J40,Drivers!J71,Drivers!J102)</f>
        <v>0.15</v>
      </c>
      <c r="K26" s="41">
        <f>CHOOSE($B$5,Drivers!K40,Drivers!K71,Drivers!K102)</f>
        <v>0.12</v>
      </c>
      <c r="L26" s="41">
        <f>CHOOSE($B$5,Drivers!L40,Drivers!L71,Drivers!L102)</f>
        <v>0.1</v>
      </c>
      <c r="M26" s="41">
        <f>CHOOSE($B$5,Drivers!M40,Drivers!M71,Drivers!M102)</f>
        <v>0.08</v>
      </c>
      <c r="N26" s="41">
        <f>CHOOSE($B$5,Drivers!N40,Drivers!N71,Drivers!N102)</f>
        <v>7.0000000000000007E-2</v>
      </c>
      <c r="O26" s="41">
        <f>CHOOSE($B$5,Drivers!O40,Drivers!O71,Drivers!O102)</f>
        <v>0.06</v>
      </c>
      <c r="P26" s="41">
        <f>CHOOSE($B$5,Drivers!P40,Drivers!P71,Drivers!P102)</f>
        <v>0.05</v>
      </c>
      <c r="Q26" s="41">
        <f>CHOOSE($B$5,Drivers!Q40,Drivers!Q71,Drivers!Q102)</f>
        <v>4.4999999999999998E-2</v>
      </c>
      <c r="R26" s="41">
        <f>CHOOSE($B$5,Drivers!R40,Drivers!R71,Drivers!R102)</f>
        <v>0.04</v>
      </c>
      <c r="S26" s="41">
        <f>CHOOSE($B$5,Drivers!S40,Drivers!S71,Drivers!S102)</f>
        <v>3.5000000000000003E-2</v>
      </c>
    </row>
    <row r="27" spans="1:19" x14ac:dyDescent="0.3">
      <c r="A27" s="1" t="s">
        <v>343</v>
      </c>
      <c r="B27" s="69"/>
      <c r="C27" s="69"/>
      <c r="D27" s="69"/>
      <c r="E27" s="70">
        <f>CHOOSE($B$5,Drivers!E41,Drivers!E72,Drivers!E103)</f>
        <v>1.5</v>
      </c>
      <c r="F27" s="69"/>
      <c r="G27" s="69"/>
      <c r="H27" s="69"/>
      <c r="I27" s="69"/>
      <c r="J27" s="69"/>
      <c r="K27" s="69"/>
      <c r="L27" s="69"/>
      <c r="M27" s="69"/>
      <c r="N27" s="69"/>
      <c r="O27" s="69"/>
      <c r="P27" s="69"/>
      <c r="Q27" s="69"/>
      <c r="R27" s="69"/>
      <c r="S27" s="69"/>
    </row>
    <row r="28" spans="1:19" x14ac:dyDescent="0.3">
      <c r="A28" s="1" t="s">
        <v>236</v>
      </c>
      <c r="B28" s="75"/>
      <c r="C28" s="75"/>
      <c r="D28" s="75"/>
      <c r="E28" s="75"/>
      <c r="F28" s="41">
        <f>CHOOSE($B$5,Drivers!F42,Drivers!F73,Drivers!F104)</f>
        <v>0.04</v>
      </c>
      <c r="G28" s="41">
        <f>CHOOSE($B$5,Drivers!G42,Drivers!G73,Drivers!G104)</f>
        <v>0.04</v>
      </c>
      <c r="H28" s="41">
        <f>CHOOSE($B$5,Drivers!H42,Drivers!H73,Drivers!H104)</f>
        <v>0.04</v>
      </c>
      <c r="I28" s="41">
        <f>CHOOSE($B$5,Drivers!I42,Drivers!I73,Drivers!I104)</f>
        <v>0.04</v>
      </c>
      <c r="J28" s="41">
        <f>CHOOSE($B$5,Drivers!J42,Drivers!J73,Drivers!J104)</f>
        <v>0.04</v>
      </c>
      <c r="K28" s="41">
        <f>CHOOSE($B$5,Drivers!K42,Drivers!K73,Drivers!K104)</f>
        <v>0.04</v>
      </c>
      <c r="L28" s="41">
        <f>CHOOSE($B$5,Drivers!L42,Drivers!L73,Drivers!L104)</f>
        <v>0.04</v>
      </c>
      <c r="M28" s="41">
        <f>CHOOSE($B$5,Drivers!M42,Drivers!M73,Drivers!M104)</f>
        <v>0.04</v>
      </c>
      <c r="N28" s="41">
        <f>CHOOSE($B$5,Drivers!N42,Drivers!N73,Drivers!N104)</f>
        <v>0.04</v>
      </c>
      <c r="O28" s="41">
        <f>CHOOSE($B$5,Drivers!O42,Drivers!O73,Drivers!O104)</f>
        <v>0.04</v>
      </c>
      <c r="P28" s="41">
        <f>CHOOSE($B$5,Drivers!P42,Drivers!P73,Drivers!P104)</f>
        <v>0.04</v>
      </c>
      <c r="Q28" s="41">
        <f>CHOOSE($B$5,Drivers!Q42,Drivers!Q73,Drivers!Q104)</f>
        <v>0.04</v>
      </c>
      <c r="R28" s="41">
        <f>CHOOSE($B$5,Drivers!R42,Drivers!R73,Drivers!R104)</f>
        <v>0.04</v>
      </c>
      <c r="S28" s="41">
        <f>CHOOSE($B$5,Drivers!S42,Drivers!S73,Drivers!S104)</f>
        <v>0.04</v>
      </c>
    </row>
    <row r="29" spans="1:19" x14ac:dyDescent="0.3">
      <c r="A29" s="1" t="s">
        <v>344</v>
      </c>
      <c r="B29" s="75"/>
      <c r="C29" s="75"/>
      <c r="D29" s="75"/>
      <c r="E29" s="41">
        <f>CHOOSE($B$5,Drivers!E43,Drivers!E74,Drivers!E105)</f>
        <v>0.65</v>
      </c>
      <c r="F29" s="41">
        <f>CHOOSE($B$5,Drivers!F43,Drivers!F74,Drivers!F105)</f>
        <v>0.6</v>
      </c>
      <c r="G29" s="41">
        <f>CHOOSE($B$5,Drivers!G43,Drivers!G74,Drivers!G105)</f>
        <v>0.55000000000000004</v>
      </c>
      <c r="H29" s="41">
        <f>CHOOSE($B$5,Drivers!H43,Drivers!H74,Drivers!H105)</f>
        <v>0.5</v>
      </c>
      <c r="I29" s="41">
        <f>CHOOSE($B$5,Drivers!I43,Drivers!I74,Drivers!I105)</f>
        <v>0.46</v>
      </c>
      <c r="J29" s="41">
        <f>CHOOSE($B$5,Drivers!J43,Drivers!J74,Drivers!J105)</f>
        <v>0.42</v>
      </c>
      <c r="K29" s="41">
        <f>CHOOSE($B$5,Drivers!K43,Drivers!K74,Drivers!K105)</f>
        <v>0.4</v>
      </c>
      <c r="L29" s="41">
        <f>CHOOSE($B$5,Drivers!L43,Drivers!L74,Drivers!L105)</f>
        <v>0.38</v>
      </c>
      <c r="M29" s="41">
        <f>CHOOSE($B$5,Drivers!M43,Drivers!M74,Drivers!M105)</f>
        <v>0.36</v>
      </c>
      <c r="N29" s="41">
        <f>CHOOSE($B$5,Drivers!N43,Drivers!N74,Drivers!N105)</f>
        <v>0.35</v>
      </c>
      <c r="O29" s="41">
        <f>CHOOSE($B$5,Drivers!O43,Drivers!O74,Drivers!O105)</f>
        <v>0.34</v>
      </c>
      <c r="P29" s="41">
        <f>CHOOSE($B$5,Drivers!P43,Drivers!P74,Drivers!P105)</f>
        <v>0.33</v>
      </c>
      <c r="Q29" s="41">
        <f>CHOOSE($B$5,Drivers!Q43,Drivers!Q74,Drivers!Q105)</f>
        <v>0.32</v>
      </c>
      <c r="R29" s="41">
        <f>CHOOSE($B$5,Drivers!R43,Drivers!R74,Drivers!R105)</f>
        <v>0.31</v>
      </c>
      <c r="S29" s="41">
        <f>CHOOSE($B$5,Drivers!S43,Drivers!S74,Drivers!S105)</f>
        <v>0.3</v>
      </c>
    </row>
    <row r="30" spans="1:19" x14ac:dyDescent="0.3">
      <c r="A30" s="1" t="s">
        <v>183</v>
      </c>
      <c r="B30" s="75"/>
      <c r="C30" s="75"/>
      <c r="D30" s="75"/>
      <c r="E30" s="41">
        <f>CHOOSE($B$5,Drivers!E44,Drivers!E75,Drivers!E106)</f>
        <v>0.185</v>
      </c>
      <c r="F30" s="41">
        <f>CHOOSE($B$5,Drivers!F44,Drivers!F75,Drivers!F106)</f>
        <v>0.16</v>
      </c>
      <c r="G30" s="41">
        <f>CHOOSE($B$5,Drivers!G44,Drivers!G75,Drivers!G106)</f>
        <v>0.14499999999999999</v>
      </c>
      <c r="H30" s="41">
        <f>CHOOSE($B$5,Drivers!H44,Drivers!H75,Drivers!H106)</f>
        <v>0.13500000000000001</v>
      </c>
      <c r="I30" s="41">
        <f>CHOOSE($B$5,Drivers!I44,Drivers!I75,Drivers!I106)</f>
        <v>0.125</v>
      </c>
      <c r="J30" s="41">
        <f>CHOOSE($B$5,Drivers!J44,Drivers!J75,Drivers!J106)</f>
        <v>0.115</v>
      </c>
      <c r="K30" s="41">
        <f>CHOOSE($B$5,Drivers!K44,Drivers!K75,Drivers!K106)</f>
        <v>0.11</v>
      </c>
      <c r="L30" s="41">
        <f>CHOOSE($B$5,Drivers!L44,Drivers!L75,Drivers!L106)</f>
        <v>0.105</v>
      </c>
      <c r="M30" s="41">
        <f>CHOOSE($B$5,Drivers!M44,Drivers!M75,Drivers!M106)</f>
        <v>0.1</v>
      </c>
      <c r="N30" s="41">
        <f>CHOOSE($B$5,Drivers!N44,Drivers!N75,Drivers!N106)</f>
        <v>0.1</v>
      </c>
      <c r="O30" s="41">
        <f>CHOOSE($B$5,Drivers!O44,Drivers!O75,Drivers!O106)</f>
        <v>0.1</v>
      </c>
      <c r="P30" s="41">
        <f>CHOOSE($B$5,Drivers!P44,Drivers!P75,Drivers!P106)</f>
        <v>0.1</v>
      </c>
      <c r="Q30" s="41">
        <f>CHOOSE($B$5,Drivers!Q44,Drivers!Q75,Drivers!Q106)</f>
        <v>0.1</v>
      </c>
      <c r="R30" s="41">
        <f>CHOOSE($B$5,Drivers!R44,Drivers!R75,Drivers!R106)</f>
        <v>0.1</v>
      </c>
      <c r="S30" s="41">
        <f>CHOOSE($B$5,Drivers!S44,Drivers!S75,Drivers!S106)</f>
        <v>0.1</v>
      </c>
    </row>
    <row r="31" spans="1:19" x14ac:dyDescent="0.3">
      <c r="A31" s="1" t="s">
        <v>184</v>
      </c>
      <c r="B31" s="75"/>
      <c r="C31" s="75"/>
      <c r="D31" s="75"/>
      <c r="E31" s="41">
        <f>CHOOSE($B$5,Drivers!E45,Drivers!E76,Drivers!E107)</f>
        <v>9.5000000000000001E-2</v>
      </c>
      <c r="F31" s="41">
        <f>CHOOSE($B$5,Drivers!F45,Drivers!F76,Drivers!F107)</f>
        <v>8.5000000000000006E-2</v>
      </c>
      <c r="G31" s="41">
        <f>CHOOSE($B$5,Drivers!G45,Drivers!G76,Drivers!G107)</f>
        <v>7.4999999999999997E-2</v>
      </c>
      <c r="H31" s="41">
        <f>CHOOSE($B$5,Drivers!H45,Drivers!H76,Drivers!H107)</f>
        <v>7.0000000000000007E-2</v>
      </c>
      <c r="I31" s="41">
        <f>CHOOSE($B$5,Drivers!I45,Drivers!I76,Drivers!I107)</f>
        <v>6.5000000000000002E-2</v>
      </c>
      <c r="J31" s="41">
        <f>CHOOSE($B$5,Drivers!J45,Drivers!J76,Drivers!J107)</f>
        <v>0.06</v>
      </c>
      <c r="K31" s="41">
        <f>CHOOSE($B$5,Drivers!K45,Drivers!K76,Drivers!K107)</f>
        <v>5.5E-2</v>
      </c>
      <c r="L31" s="41">
        <f>CHOOSE($B$5,Drivers!L45,Drivers!L76,Drivers!L107)</f>
        <v>5.5E-2</v>
      </c>
      <c r="M31" s="41">
        <f>CHOOSE($B$5,Drivers!M45,Drivers!M76,Drivers!M107)</f>
        <v>0.05</v>
      </c>
      <c r="N31" s="41">
        <f>CHOOSE($B$5,Drivers!N45,Drivers!N76,Drivers!N107)</f>
        <v>0.05</v>
      </c>
      <c r="O31" s="41">
        <f>CHOOSE($B$5,Drivers!O45,Drivers!O76,Drivers!O107)</f>
        <v>0.05</v>
      </c>
      <c r="P31" s="41">
        <f>CHOOSE($B$5,Drivers!P45,Drivers!P76,Drivers!P107)</f>
        <v>0.05</v>
      </c>
      <c r="Q31" s="41">
        <f>CHOOSE($B$5,Drivers!Q45,Drivers!Q76,Drivers!Q107)</f>
        <v>0.05</v>
      </c>
      <c r="R31" s="41">
        <f>CHOOSE($B$5,Drivers!R45,Drivers!R76,Drivers!R107)</f>
        <v>0.05</v>
      </c>
      <c r="S31" s="41">
        <f>CHOOSE($B$5,Drivers!S45,Drivers!S76,Drivers!S107)</f>
        <v>0.05</v>
      </c>
    </row>
    <row r="32" spans="1:19" x14ac:dyDescent="0.3">
      <c r="A32" s="1" t="s">
        <v>345</v>
      </c>
      <c r="B32" s="75"/>
      <c r="C32" s="75"/>
      <c r="D32" s="75"/>
      <c r="E32" s="41">
        <f>CHOOSE($B$5,Drivers!E46,Drivers!E77,Drivers!E108)</f>
        <v>8.0000000000000002E-3</v>
      </c>
      <c r="F32" s="41">
        <f>CHOOSE($B$5,Drivers!F46,Drivers!F77,Drivers!F108)</f>
        <v>8.0000000000000002E-3</v>
      </c>
      <c r="G32" s="41">
        <f>CHOOSE($B$5,Drivers!G46,Drivers!G77,Drivers!G108)</f>
        <v>8.0000000000000002E-3</v>
      </c>
      <c r="H32" s="41">
        <f>CHOOSE($B$5,Drivers!H46,Drivers!H77,Drivers!H108)</f>
        <v>8.0000000000000002E-3</v>
      </c>
      <c r="I32" s="41">
        <f>CHOOSE($B$5,Drivers!I46,Drivers!I77,Drivers!I108)</f>
        <v>8.0000000000000002E-3</v>
      </c>
      <c r="J32" s="41">
        <f>CHOOSE($B$5,Drivers!J46,Drivers!J77,Drivers!J108)</f>
        <v>8.0000000000000002E-3</v>
      </c>
      <c r="K32" s="41">
        <f>CHOOSE($B$5,Drivers!K46,Drivers!K77,Drivers!K108)</f>
        <v>8.0000000000000002E-3</v>
      </c>
      <c r="L32" s="41">
        <f>CHOOSE($B$5,Drivers!L46,Drivers!L77,Drivers!L108)</f>
        <v>8.0000000000000002E-3</v>
      </c>
      <c r="M32" s="41">
        <f>CHOOSE($B$5,Drivers!M46,Drivers!M77,Drivers!M108)</f>
        <v>8.0000000000000002E-3</v>
      </c>
      <c r="N32" s="41">
        <f>CHOOSE($B$5,Drivers!N46,Drivers!N77,Drivers!N108)</f>
        <v>8.0000000000000002E-3</v>
      </c>
      <c r="O32" s="41">
        <f>CHOOSE($B$5,Drivers!O46,Drivers!O77,Drivers!O108)</f>
        <v>8.0000000000000002E-3</v>
      </c>
      <c r="P32" s="41">
        <f>CHOOSE($B$5,Drivers!P46,Drivers!P77,Drivers!P108)</f>
        <v>8.0000000000000002E-3</v>
      </c>
      <c r="Q32" s="41">
        <f>CHOOSE($B$5,Drivers!Q46,Drivers!Q77,Drivers!Q108)</f>
        <v>8.0000000000000002E-3</v>
      </c>
      <c r="R32" s="41">
        <f>CHOOSE($B$5,Drivers!R46,Drivers!R77,Drivers!R108)</f>
        <v>8.0000000000000002E-3</v>
      </c>
      <c r="S32" s="41">
        <f>CHOOSE($B$5,Drivers!S46,Drivers!S77,Drivers!S108)</f>
        <v>8.0000000000000002E-3</v>
      </c>
    </row>
    <row r="33" spans="1:26" x14ac:dyDescent="0.3">
      <c r="A33" s="1" t="s">
        <v>240</v>
      </c>
      <c r="B33" s="75"/>
      <c r="C33" s="75"/>
      <c r="D33" s="75"/>
      <c r="E33" s="41">
        <f>CHOOSE($B$5,Drivers!E47,Drivers!E78,Drivers!E109)</f>
        <v>5.0000000000000001E-3</v>
      </c>
      <c r="F33" s="41">
        <f>CHOOSE($B$5,Drivers!F47,Drivers!F78,Drivers!F109)</f>
        <v>5.0000000000000001E-3</v>
      </c>
      <c r="G33" s="41">
        <f>CHOOSE($B$5,Drivers!G47,Drivers!G78,Drivers!G109)</f>
        <v>5.0000000000000001E-3</v>
      </c>
      <c r="H33" s="41">
        <f>CHOOSE($B$5,Drivers!H47,Drivers!H78,Drivers!H109)</f>
        <v>5.0000000000000001E-3</v>
      </c>
      <c r="I33" s="41">
        <f>CHOOSE($B$5,Drivers!I47,Drivers!I78,Drivers!I109)</f>
        <v>5.0000000000000001E-3</v>
      </c>
      <c r="J33" s="41">
        <f>CHOOSE($B$5,Drivers!J47,Drivers!J78,Drivers!J109)</f>
        <v>5.0000000000000001E-3</v>
      </c>
      <c r="K33" s="41">
        <f>CHOOSE($B$5,Drivers!K47,Drivers!K78,Drivers!K109)</f>
        <v>5.0000000000000001E-3</v>
      </c>
      <c r="L33" s="41">
        <f>CHOOSE($B$5,Drivers!L47,Drivers!L78,Drivers!L109)</f>
        <v>5.0000000000000001E-3</v>
      </c>
      <c r="M33" s="41">
        <f>CHOOSE($B$5,Drivers!M47,Drivers!M78,Drivers!M109)</f>
        <v>5.0000000000000001E-3</v>
      </c>
      <c r="N33" s="41">
        <f>CHOOSE($B$5,Drivers!N47,Drivers!N78,Drivers!N109)</f>
        <v>5.0000000000000001E-3</v>
      </c>
      <c r="O33" s="41">
        <f>CHOOSE($B$5,Drivers!O47,Drivers!O78,Drivers!O109)</f>
        <v>5.0000000000000001E-3</v>
      </c>
      <c r="P33" s="41">
        <f>CHOOSE($B$5,Drivers!P47,Drivers!P78,Drivers!P109)</f>
        <v>5.0000000000000001E-3</v>
      </c>
      <c r="Q33" s="41">
        <f>CHOOSE($B$5,Drivers!Q47,Drivers!Q78,Drivers!Q109)</f>
        <v>5.0000000000000001E-3</v>
      </c>
      <c r="R33" s="41">
        <f>CHOOSE($B$5,Drivers!R47,Drivers!R78,Drivers!R109)</f>
        <v>5.0000000000000001E-3</v>
      </c>
      <c r="S33" s="41">
        <f>CHOOSE($B$5,Drivers!S47,Drivers!S78,Drivers!S109)</f>
        <v>5.0000000000000001E-3</v>
      </c>
    </row>
    <row r="34" spans="1:26" x14ac:dyDescent="0.3">
      <c r="A34" s="1" t="s">
        <v>346</v>
      </c>
      <c r="B34" s="75"/>
      <c r="C34" s="75"/>
      <c r="D34" s="75"/>
      <c r="E34" s="41">
        <f>CHOOSE($B$5,Drivers!E48,Drivers!E79,Drivers!E110)</f>
        <v>0.02</v>
      </c>
      <c r="F34" s="41">
        <f>CHOOSE($B$5,Drivers!F48,Drivers!F79,Drivers!F110)</f>
        <v>0.02</v>
      </c>
      <c r="G34" s="41">
        <f>CHOOSE($B$5,Drivers!G48,Drivers!G79,Drivers!G110)</f>
        <v>0.02</v>
      </c>
      <c r="H34" s="41">
        <f>CHOOSE($B$5,Drivers!H48,Drivers!H79,Drivers!H110)</f>
        <v>0.02</v>
      </c>
      <c r="I34" s="41">
        <f>CHOOSE($B$5,Drivers!I48,Drivers!I79,Drivers!I110)</f>
        <v>0.02</v>
      </c>
      <c r="J34" s="41">
        <f>CHOOSE($B$5,Drivers!J48,Drivers!J79,Drivers!J110)</f>
        <v>0.02</v>
      </c>
      <c r="K34" s="41">
        <f>CHOOSE($B$5,Drivers!K48,Drivers!K79,Drivers!K110)</f>
        <v>0.02</v>
      </c>
      <c r="L34" s="41">
        <f>CHOOSE($B$5,Drivers!L48,Drivers!L79,Drivers!L110)</f>
        <v>0.02</v>
      </c>
      <c r="M34" s="41">
        <f>CHOOSE($B$5,Drivers!M48,Drivers!M79,Drivers!M110)</f>
        <v>0.02</v>
      </c>
      <c r="N34" s="41">
        <f>CHOOSE($B$5,Drivers!N48,Drivers!N79,Drivers!N110)</f>
        <v>0.02</v>
      </c>
      <c r="O34" s="41">
        <f>CHOOSE($B$5,Drivers!O48,Drivers!O79,Drivers!O110)</f>
        <v>0.02</v>
      </c>
      <c r="P34" s="41">
        <f>CHOOSE($B$5,Drivers!P48,Drivers!P79,Drivers!P110)</f>
        <v>0.02</v>
      </c>
      <c r="Q34" s="41">
        <f>CHOOSE($B$5,Drivers!Q48,Drivers!Q79,Drivers!Q110)</f>
        <v>0.02</v>
      </c>
      <c r="R34" s="41">
        <f>CHOOSE($B$5,Drivers!R48,Drivers!R79,Drivers!R110)</f>
        <v>0.02</v>
      </c>
      <c r="S34" s="41">
        <f>CHOOSE($B$5,Drivers!S48,Drivers!S79,Drivers!S110)</f>
        <v>0.02</v>
      </c>
    </row>
    <row r="35" spans="1:26" x14ac:dyDescent="0.3">
      <c r="A35" s="1" t="s">
        <v>347</v>
      </c>
      <c r="B35" s="75"/>
      <c r="C35" s="75"/>
      <c r="D35" s="75"/>
      <c r="E35" s="41">
        <f>CHOOSE($B$5,Drivers!E49,Drivers!E80,Drivers!E111)</f>
        <v>0.04</v>
      </c>
      <c r="F35" s="75"/>
      <c r="G35" s="75"/>
      <c r="H35" s="75"/>
      <c r="I35" s="75"/>
      <c r="J35" s="75"/>
      <c r="K35" s="75"/>
      <c r="L35" s="75"/>
      <c r="M35" s="75"/>
      <c r="N35" s="75"/>
      <c r="O35" s="75"/>
      <c r="P35" s="75"/>
      <c r="Q35" s="75"/>
      <c r="R35" s="75"/>
      <c r="S35" s="75"/>
    </row>
    <row r="36" spans="1:26" x14ac:dyDescent="0.3">
      <c r="A36" s="1" t="s">
        <v>348</v>
      </c>
      <c r="B36" s="83"/>
      <c r="C36" s="83"/>
      <c r="D36" s="83"/>
      <c r="E36" s="62">
        <f>CHOOSE($B$5,Drivers!E50,Drivers!E81,Drivers!E112)</f>
        <v>17</v>
      </c>
      <c r="F36" s="83"/>
      <c r="G36" s="83"/>
      <c r="H36" s="83"/>
      <c r="I36" s="83"/>
      <c r="J36" s="83"/>
      <c r="K36" s="83"/>
      <c r="L36" s="83"/>
      <c r="M36" s="83"/>
      <c r="N36" s="83"/>
      <c r="O36" s="83"/>
      <c r="P36" s="83"/>
      <c r="Q36" s="83"/>
      <c r="R36" s="83"/>
      <c r="S36" s="83"/>
    </row>
    <row r="37" spans="1:26" x14ac:dyDescent="0.3">
      <c r="A37" s="1" t="s">
        <v>247</v>
      </c>
      <c r="B37" s="33"/>
      <c r="C37" s="33"/>
      <c r="D37" s="33"/>
      <c r="E37" s="63">
        <f>CHOOSE($B$5,Drivers!E51,Drivers!E82,Drivers!E113)</f>
        <v>0.25</v>
      </c>
      <c r="F37" s="33"/>
      <c r="G37" s="33"/>
      <c r="H37" s="33"/>
      <c r="I37" s="33"/>
      <c r="J37" s="33"/>
      <c r="K37" s="33"/>
      <c r="L37" s="33"/>
      <c r="M37" s="33"/>
      <c r="N37" s="33"/>
      <c r="O37" s="33"/>
      <c r="P37" s="33"/>
      <c r="Q37" s="33"/>
      <c r="R37" s="33"/>
      <c r="S37" s="33"/>
    </row>
    <row r="38" spans="1:26" x14ac:dyDescent="0.3">
      <c r="A38" s="1" t="s">
        <v>349</v>
      </c>
      <c r="B38" s="49"/>
      <c r="C38" s="49"/>
      <c r="D38" s="49"/>
      <c r="E38" s="84">
        <f>CHOOSE($B$5,WACC!B27,WACC!B28,WACC!B29)</f>
        <v>0.13367493162419763</v>
      </c>
      <c r="F38" s="49"/>
      <c r="G38" s="49"/>
      <c r="H38" s="49"/>
      <c r="I38" s="49"/>
      <c r="J38" s="49"/>
      <c r="K38" s="49"/>
      <c r="L38" s="49"/>
      <c r="M38" s="49"/>
      <c r="N38" s="49"/>
      <c r="O38" s="49"/>
      <c r="P38" s="49"/>
      <c r="Q38" s="49"/>
      <c r="R38" s="49"/>
      <c r="S38" s="49"/>
    </row>
    <row r="39" spans="1:26" x14ac:dyDescent="0.3">
      <c r="A39" s="1" t="s">
        <v>502</v>
      </c>
      <c r="B39"/>
      <c r="C39"/>
      <c r="D39"/>
      <c r="E39" s="111">
        <f>CHOOSE($B$5,WACC!F27,WACC!F28,WACC!F29)</f>
        <v>0.1001529411764706</v>
      </c>
      <c r="F39"/>
      <c r="G39"/>
      <c r="H39"/>
      <c r="I39"/>
      <c r="J39"/>
      <c r="K39"/>
      <c r="L39"/>
      <c r="M39"/>
      <c r="N39"/>
      <c r="O39"/>
      <c r="P39"/>
      <c r="Q39"/>
      <c r="R39"/>
      <c r="S39"/>
      <c r="T39"/>
      <c r="U39"/>
      <c r="V39"/>
      <c r="W39"/>
      <c r="X39"/>
      <c r="Y39"/>
      <c r="Z39"/>
    </row>
    <row r="40" spans="1:26" x14ac:dyDescent="0.3">
      <c r="A40" s="1" t="s">
        <v>350</v>
      </c>
      <c r="B40" s="56"/>
      <c r="C40" s="56"/>
      <c r="D40" s="56"/>
      <c r="E40" s="61">
        <f>WACC!B9</f>
        <v>0.23</v>
      </c>
      <c r="F40" s="56"/>
      <c r="G40" s="56"/>
      <c r="H40" s="56"/>
      <c r="I40" s="56"/>
      <c r="J40" s="56"/>
      <c r="K40" s="56"/>
      <c r="L40" s="56"/>
      <c r="M40" s="56"/>
      <c r="N40" s="56"/>
      <c r="O40" s="56"/>
      <c r="P40" s="56"/>
      <c r="Q40" s="56"/>
      <c r="R40" s="56"/>
      <c r="S40" s="56"/>
    </row>
    <row r="41" spans="1:26" ht="3" customHeight="1" x14ac:dyDescent="0.3"/>
    <row r="42" spans="1:26" x14ac:dyDescent="0.3">
      <c r="A42" s="5" t="s">
        <v>351</v>
      </c>
      <c r="B42" s="5"/>
      <c r="C42" s="5"/>
      <c r="D42" s="5"/>
      <c r="E42" s="5"/>
      <c r="F42" s="5"/>
      <c r="G42" s="5"/>
      <c r="H42" s="5"/>
      <c r="I42" s="5"/>
      <c r="J42" s="5"/>
      <c r="K42" s="5"/>
      <c r="L42" s="5"/>
      <c r="M42" s="5"/>
      <c r="N42" s="5"/>
      <c r="O42" s="5"/>
      <c r="P42" s="5"/>
      <c r="Q42" s="5"/>
      <c r="R42" s="5"/>
      <c r="S42" s="5"/>
    </row>
    <row r="43" spans="1:26" x14ac:dyDescent="0.3">
      <c r="A43" s="1" t="s">
        <v>352</v>
      </c>
      <c r="B43" s="9"/>
      <c r="C43" s="9"/>
      <c r="D43" s="9"/>
      <c r="E43" s="77">
        <f>INDEX(Historicals!$B$7:$K$7,MATCH(Actuals!$B$5,Historicals!$B$6:$K$6,0))</f>
        <v>16286</v>
      </c>
      <c r="F43" s="9"/>
      <c r="G43" s="9"/>
      <c r="H43" s="9"/>
      <c r="I43" s="9"/>
      <c r="J43" s="9"/>
      <c r="K43" s="9"/>
      <c r="L43" s="9"/>
      <c r="M43" s="9"/>
      <c r="N43" s="9"/>
      <c r="O43" s="9"/>
      <c r="P43" s="9"/>
      <c r="Q43" s="9"/>
      <c r="R43" s="9"/>
      <c r="S43" s="9"/>
    </row>
    <row r="44" spans="1:26" x14ac:dyDescent="0.3">
      <c r="A44" s="1" t="s">
        <v>353</v>
      </c>
      <c r="B44" s="9"/>
      <c r="C44" s="9"/>
      <c r="D44" s="9"/>
      <c r="E44" s="77">
        <f>INDEX(Historicals!$B$9:$K$9,MATCH(Actuals!$B$5,Historicals!$B$6:$K$6,0))</f>
        <v>8945</v>
      </c>
      <c r="F44" s="9"/>
      <c r="G44" s="9"/>
      <c r="H44" s="9"/>
      <c r="I44" s="9"/>
      <c r="J44" s="9"/>
      <c r="K44" s="9"/>
      <c r="L44" s="9"/>
      <c r="M44" s="9"/>
      <c r="N44" s="9"/>
      <c r="O44" s="9"/>
      <c r="P44" s="9"/>
      <c r="Q44" s="9"/>
      <c r="R44" s="9"/>
      <c r="S44" s="9"/>
    </row>
    <row r="45" spans="1:26" x14ac:dyDescent="0.3">
      <c r="A45" s="1" t="s">
        <v>354</v>
      </c>
      <c r="B45" s="9"/>
      <c r="C45" s="9"/>
      <c r="D45" s="9"/>
      <c r="E45" s="77">
        <f>INDEX(Historicals!$B$10:$K$10,MATCH(Actuals!$B$5,Historicals!$B$6:$K$6,0))</f>
        <v>3152</v>
      </c>
      <c r="F45" s="9"/>
      <c r="G45" s="9"/>
      <c r="H45" s="9"/>
      <c r="I45" s="9"/>
      <c r="J45" s="9"/>
      <c r="K45" s="9"/>
      <c r="L45" s="9"/>
      <c r="M45" s="9"/>
      <c r="N45" s="9"/>
      <c r="O45" s="9"/>
      <c r="P45" s="9"/>
      <c r="Q45" s="9"/>
      <c r="R45" s="9"/>
      <c r="S45" s="9"/>
    </row>
    <row r="46" spans="1:26" x14ac:dyDescent="0.3">
      <c r="A46" s="1" t="s">
        <v>355</v>
      </c>
      <c r="B46" s="9"/>
      <c r="C46" s="9"/>
      <c r="D46" s="9"/>
      <c r="E46" s="77">
        <f>INDEX(Historicals!$B$12:$K$12,MATCH(Actuals!$B$5,Historicals!$B$6:$K$6,0))</f>
        <v>3168</v>
      </c>
      <c r="F46" s="9"/>
      <c r="G46" s="9"/>
      <c r="H46" s="9"/>
      <c r="I46" s="9"/>
      <c r="J46" s="9"/>
      <c r="K46" s="9"/>
      <c r="L46" s="9"/>
      <c r="M46" s="9"/>
      <c r="N46" s="9"/>
      <c r="O46" s="9"/>
      <c r="P46" s="9"/>
      <c r="Q46" s="9"/>
      <c r="R46" s="9"/>
      <c r="S46" s="9"/>
    </row>
    <row r="47" spans="1:26" x14ac:dyDescent="0.3">
      <c r="A47" s="1" t="s">
        <v>356</v>
      </c>
      <c r="B47" s="9"/>
      <c r="C47" s="9"/>
      <c r="D47" s="9"/>
      <c r="E47" s="77">
        <f>INDEX(Historicals!$B$13:$K$13,MATCH(Actuals!$B$5,Historicals!$B$6:$K$6,0))</f>
        <v>1714</v>
      </c>
      <c r="F47" s="9"/>
      <c r="G47" s="9"/>
      <c r="H47" s="9"/>
      <c r="I47" s="9"/>
      <c r="J47" s="9"/>
      <c r="K47" s="9"/>
      <c r="L47" s="9"/>
      <c r="M47" s="9"/>
      <c r="N47" s="9"/>
      <c r="O47" s="9"/>
      <c r="P47" s="9"/>
      <c r="Q47" s="9"/>
      <c r="R47" s="9"/>
      <c r="S47" s="9"/>
    </row>
    <row r="48" spans="1:26" x14ac:dyDescent="0.3">
      <c r="A48" s="1" t="s">
        <v>357</v>
      </c>
      <c r="B48" s="9"/>
      <c r="C48" s="9"/>
      <c r="D48" s="9"/>
      <c r="E48" s="77">
        <f>INDEX(Historicals!$B$25:$K$25,MATCH(Actuals!$B$5,Historicals!$B$6:$K$6,0))</f>
        <v>2185</v>
      </c>
      <c r="F48" s="9"/>
      <c r="G48" s="9"/>
      <c r="H48" s="9"/>
      <c r="I48" s="9"/>
      <c r="J48" s="9"/>
      <c r="K48" s="9"/>
      <c r="L48" s="9"/>
      <c r="M48" s="9"/>
      <c r="N48" s="9"/>
      <c r="O48" s="9"/>
      <c r="P48" s="9"/>
      <c r="Q48" s="9"/>
      <c r="R48" s="9"/>
      <c r="S48" s="9"/>
    </row>
    <row r="49" spans="1:19" x14ac:dyDescent="0.3">
      <c r="A49" s="1" t="s">
        <v>358</v>
      </c>
      <c r="B49" s="9"/>
      <c r="C49" s="9"/>
      <c r="D49" s="9"/>
      <c r="E49" s="77">
        <f>INDEX(Historicals!$B$26:$K$26,MATCH(Actuals!$B$5,Historicals!$B$6:$K$6,0))</f>
        <v>97</v>
      </c>
      <c r="F49" s="9"/>
      <c r="G49" s="9"/>
      <c r="H49" s="9"/>
      <c r="I49" s="9"/>
      <c r="J49" s="9"/>
      <c r="K49" s="9"/>
      <c r="L49" s="9"/>
      <c r="M49" s="9"/>
      <c r="N49" s="9"/>
      <c r="O49" s="9"/>
      <c r="P49" s="9"/>
      <c r="Q49" s="9"/>
      <c r="R49" s="9"/>
      <c r="S49" s="9"/>
    </row>
    <row r="50" spans="1:19" x14ac:dyDescent="0.3">
      <c r="A50" s="1" t="s">
        <v>359</v>
      </c>
      <c r="B50" s="51"/>
      <c r="C50" s="51"/>
      <c r="D50" s="51"/>
      <c r="E50" s="52">
        <f>Actuals!$B$6/12</f>
        <v>0.5</v>
      </c>
      <c r="F50" s="51"/>
      <c r="G50" s="51"/>
      <c r="H50" s="51"/>
      <c r="I50" s="51"/>
      <c r="J50" s="51"/>
      <c r="K50" s="51"/>
      <c r="L50" s="51"/>
      <c r="M50" s="51"/>
      <c r="N50" s="51"/>
      <c r="O50" s="51"/>
      <c r="P50" s="51"/>
      <c r="Q50" s="51"/>
      <c r="R50" s="51"/>
      <c r="S50" s="51"/>
    </row>
    <row r="51" spans="1:19" x14ac:dyDescent="0.3">
      <c r="A51" s="1" t="s">
        <v>360</v>
      </c>
      <c r="B51" s="9"/>
      <c r="C51" s="9"/>
      <c r="D51" s="9"/>
      <c r="E51" s="30">
        <f>E65-E43</f>
        <v>41274.46</v>
      </c>
      <c r="F51" s="9"/>
      <c r="G51" s="9"/>
      <c r="H51" s="9"/>
      <c r="I51" s="9"/>
      <c r="J51" s="9"/>
      <c r="K51" s="9"/>
      <c r="L51" s="9"/>
      <c r="M51" s="9"/>
      <c r="N51" s="9"/>
      <c r="O51" s="9"/>
      <c r="P51" s="9"/>
      <c r="Q51" s="9"/>
      <c r="R51" s="9"/>
      <c r="S51" s="9"/>
    </row>
    <row r="52" spans="1:19" x14ac:dyDescent="0.3">
      <c r="A52" s="1" t="s">
        <v>715</v>
      </c>
      <c r="B52" s="9"/>
      <c r="C52" s="9"/>
      <c r="D52" s="9"/>
      <c r="E52" s="77">
        <f>INDEX(Historicals!$B$128:$K$128,MATCH(Actuals!$B$5,Historicals!$B$113:$K$113,0))+INDEX(Historicals!$B$130:$K$130,MATCH(Actuals!$B$5,Historicals!$B$113:$K$113,0))-INDEX(Historicals!$B$16:$K$16,MATCH(Actuals!$B$5,Historicals!$B$6:$K$6,0))*(1-$E$40)</f>
        <v>2591.5299999999997</v>
      </c>
      <c r="F52" s="9"/>
      <c r="G52" s="9"/>
      <c r="H52" s="9"/>
      <c r="I52" s="9"/>
      <c r="J52" s="9"/>
      <c r="K52" s="9"/>
      <c r="L52" s="9"/>
      <c r="M52" s="9"/>
      <c r="N52" s="9"/>
      <c r="O52" s="9"/>
      <c r="P52" s="9"/>
      <c r="Q52" s="9"/>
      <c r="R52" s="9"/>
      <c r="S52" s="9"/>
    </row>
    <row r="53" spans="1:19" ht="3" customHeight="1" x14ac:dyDescent="0.3"/>
    <row r="54" spans="1:19" x14ac:dyDescent="0.3">
      <c r="A54" s="5" t="s">
        <v>361</v>
      </c>
      <c r="B54" s="5"/>
      <c r="C54" s="5"/>
      <c r="D54" s="5"/>
      <c r="E54" s="5"/>
      <c r="F54" s="5"/>
      <c r="G54" s="5"/>
      <c r="H54" s="5"/>
      <c r="I54" s="5"/>
      <c r="J54" s="5"/>
      <c r="K54" s="5"/>
      <c r="L54" s="5"/>
      <c r="M54" s="5"/>
      <c r="N54" s="5"/>
      <c r="O54" s="5"/>
      <c r="P54" s="5"/>
      <c r="Q54" s="5"/>
      <c r="R54" s="5"/>
      <c r="S54" s="5"/>
    </row>
    <row r="55" spans="1:19" x14ac:dyDescent="0.3">
      <c r="A55" s="6" t="s">
        <v>362</v>
      </c>
      <c r="B55" s="7" t="s">
        <v>363</v>
      </c>
      <c r="C55" s="7" t="s">
        <v>364</v>
      </c>
      <c r="D55" s="7" t="s">
        <v>365</v>
      </c>
      <c r="E55" s="7" t="s">
        <v>366</v>
      </c>
      <c r="F55" s="7" t="s">
        <v>192</v>
      </c>
    </row>
    <row r="56" spans="1:19" x14ac:dyDescent="0.3">
      <c r="A56" s="1" t="s">
        <v>367</v>
      </c>
      <c r="B56" s="77">
        <f>IFERROR(IF(INDEX(Historicals!$B$33:$M$33,MATCH(B$55&amp;"A",Historicals!$B$32:$M$32,0))="","",INDEX(Historicals!$B$33:$M$33,MATCH(B$55&amp;"A",Historicals!$B$32:$M$32,0))),"")</f>
        <v>4731</v>
      </c>
      <c r="C56" s="77">
        <f>IFERROR(IF(INDEX(Historicals!$B$33:$M$33,MATCH(C$55&amp;"A",Historicals!$B$32:$M$32,0))="","",INDEX(Historicals!$B$33:$M$33,MATCH(C$55&amp;"A",Historicals!$B$32:$M$32,0))),"")</f>
        <v>11555</v>
      </c>
      <c r="D56" s="77" t="str">
        <f>IFERROR(IF(INDEX(Historicals!$B$33:$M$33,MATCH(D$55&amp;"A",Historicals!$B$32:$M$32,0))="","",INDEX(Historicals!$B$33:$M$33,MATCH(D$55&amp;"A",Historicals!$B$32:$M$32,0))),"")</f>
        <v/>
      </c>
      <c r="E56" s="77" t="str">
        <f>IFERROR(IF(INDEX(Historicals!$B$33:$M$33,MATCH(E$55&amp;"A",Historicals!$B$32:$M$32,0))="","",INDEX(Historicals!$B$33:$M$33,MATCH(E$55&amp;"A",Historicals!$B$32:$M$32,0))),"")</f>
        <v/>
      </c>
      <c r="F56" s="9"/>
      <c r="G56" s="9"/>
      <c r="H56" s="9"/>
      <c r="I56" s="9"/>
      <c r="J56" s="9"/>
      <c r="K56" s="9"/>
      <c r="L56" s="9"/>
      <c r="M56" s="9"/>
      <c r="N56" s="9"/>
      <c r="O56" s="9"/>
      <c r="P56" s="9"/>
      <c r="Q56" s="9"/>
      <c r="R56" s="9"/>
      <c r="S56" s="9"/>
    </row>
    <row r="57" spans="1:19" x14ac:dyDescent="0.3">
      <c r="A57" s="1" t="s">
        <v>368</v>
      </c>
      <c r="B57" s="41">
        <f>IF(B56&lt;&gt;"",B56/Historicals!$E$33-1,0)</f>
        <v>1.3191176470588237</v>
      </c>
      <c r="C57" s="31">
        <f>IF(C56&lt;&gt;"",C56/B58-1,0)</f>
        <v>1.4424011836820969</v>
      </c>
      <c r="D57" s="31">
        <f>IF(D56&lt;&gt;"",D56/C58-1,$E$9)</f>
        <v>0.52</v>
      </c>
      <c r="E57" s="31">
        <f>IF(E56&lt;&gt;"",E56/D58-1,$E$10)</f>
        <v>0.35</v>
      </c>
      <c r="F57" s="75"/>
      <c r="G57" s="75"/>
      <c r="H57" s="75"/>
      <c r="I57" s="75"/>
      <c r="J57" s="75"/>
      <c r="K57" s="75"/>
      <c r="L57" s="75"/>
      <c r="M57" s="75"/>
      <c r="N57" s="75"/>
      <c r="O57" s="75"/>
      <c r="P57" s="75"/>
      <c r="Q57" s="75"/>
      <c r="R57" s="75"/>
      <c r="S57" s="75"/>
    </row>
    <row r="58" spans="1:19" x14ac:dyDescent="0.3">
      <c r="A58" s="10" t="s">
        <v>369</v>
      </c>
      <c r="B58" s="87">
        <f>IF(B56&lt;&gt;"",B56,Historicals!$E$33*(1+B57))</f>
        <v>4731</v>
      </c>
      <c r="C58" s="34">
        <f>IF(C56&lt;&gt;"",C56,B58*(1+C57))</f>
        <v>11555</v>
      </c>
      <c r="D58" s="34">
        <f>IF(D56&lt;&gt;"",D56,C58*(1+D57))</f>
        <v>17563.599999999999</v>
      </c>
      <c r="E58" s="34">
        <f>IF(E56&lt;&gt;"",E56,D58*(1+E57))</f>
        <v>23710.86</v>
      </c>
      <c r="F58" s="34">
        <f>SUM(B58:E58)</f>
        <v>57560.46</v>
      </c>
      <c r="G58" s="12"/>
      <c r="H58" s="12"/>
      <c r="I58" s="12"/>
      <c r="J58" s="12"/>
      <c r="K58" s="12"/>
      <c r="L58" s="12"/>
      <c r="M58" s="12"/>
      <c r="N58" s="12"/>
      <c r="O58" s="12"/>
      <c r="P58" s="12"/>
      <c r="Q58" s="12"/>
      <c r="R58" s="12"/>
      <c r="S58" s="12"/>
    </row>
    <row r="59" spans="1:19" x14ac:dyDescent="0.3">
      <c r="A59" s="1" t="s">
        <v>370</v>
      </c>
      <c r="B59" s="85" t="str">
        <f>IF(B56&lt;&gt;"","Actual","Estimate")</f>
        <v>Actual</v>
      </c>
      <c r="C59" s="85" t="str">
        <f>IF(C56&lt;&gt;"","Actual","Estimate")</f>
        <v>Actual</v>
      </c>
      <c r="D59" s="85" t="str">
        <f>IF(D56&lt;&gt;"","Actual","Estimate")</f>
        <v>Estimate</v>
      </c>
      <c r="E59" s="85" t="str">
        <f>IF(E56&lt;&gt;"","Actual","Estimate")</f>
        <v>Estimate</v>
      </c>
      <c r="F59" s="86"/>
      <c r="G59" s="86"/>
      <c r="H59" s="86"/>
      <c r="I59" s="86"/>
      <c r="J59" s="86"/>
      <c r="K59" s="86"/>
      <c r="L59" s="86"/>
      <c r="M59" s="86"/>
      <c r="N59" s="86"/>
      <c r="O59" s="86"/>
      <c r="P59" s="86"/>
      <c r="Q59" s="86"/>
      <c r="R59" s="86"/>
      <c r="S59" s="86"/>
    </row>
    <row r="60" spans="1:19" x14ac:dyDescent="0.3">
      <c r="A60" s="1" t="s">
        <v>371</v>
      </c>
      <c r="B60" s="30">
        <f>B58*4</f>
        <v>18924</v>
      </c>
      <c r="C60" s="30">
        <f>C58*4</f>
        <v>46220</v>
      </c>
      <c r="D60" s="30">
        <f>D58*4</f>
        <v>70254.399999999994</v>
      </c>
      <c r="E60" s="30">
        <f>E58*4</f>
        <v>94843.44</v>
      </c>
      <c r="F60" s="9"/>
      <c r="G60" s="9"/>
      <c r="H60" s="9"/>
      <c r="I60" s="9"/>
      <c r="J60" s="9"/>
      <c r="K60" s="9"/>
      <c r="L60" s="9"/>
      <c r="M60" s="9"/>
      <c r="N60" s="9"/>
      <c r="O60" s="9"/>
      <c r="P60" s="9"/>
      <c r="Q60" s="9"/>
      <c r="R60" s="9"/>
      <c r="S60" s="9"/>
    </row>
    <row r="61" spans="1:19" ht="3" customHeight="1" x14ac:dyDescent="0.3"/>
    <row r="62" spans="1:19" x14ac:dyDescent="0.3">
      <c r="A62" s="5" t="s">
        <v>372</v>
      </c>
      <c r="B62" s="5"/>
      <c r="C62" s="5"/>
      <c r="D62" s="5"/>
      <c r="E62" s="5"/>
      <c r="F62" s="5"/>
      <c r="G62" s="5"/>
      <c r="H62" s="5"/>
      <c r="I62" s="5"/>
      <c r="J62" s="5"/>
      <c r="K62" s="5"/>
      <c r="L62" s="5"/>
      <c r="M62" s="5"/>
      <c r="N62" s="5"/>
      <c r="O62" s="5"/>
      <c r="P62" s="5"/>
      <c r="Q62" s="5"/>
      <c r="R62" s="5"/>
      <c r="S62" s="5"/>
    </row>
    <row r="63" spans="1:19" x14ac:dyDescent="0.3">
      <c r="A63" s="1" t="s">
        <v>373</v>
      </c>
      <c r="B63" s="77">
        <f>Historicals!B72</f>
        <v>39</v>
      </c>
      <c r="C63" s="77">
        <f>Historicals!C72</f>
        <v>288</v>
      </c>
      <c r="D63" s="77">
        <f>Historicals!D72</f>
        <v>3796</v>
      </c>
      <c r="E63" s="30">
        <f>E65-E64</f>
        <v>46048.368000000002</v>
      </c>
      <c r="F63" s="30">
        <f>E63*(1+F12)</f>
        <v>115120.92000000001</v>
      </c>
      <c r="G63" s="30">
        <f>F63*(1+G12)</f>
        <v>212973.70200000005</v>
      </c>
      <c r="H63" s="30">
        <f>G63*(1+H12)</f>
        <v>330109.23810000008</v>
      </c>
      <c r="I63" s="30">
        <f>H63*(1+I12)</f>
        <v>462152.93334000005</v>
      </c>
      <c r="J63" s="30">
        <f>I63*(1+J12)</f>
        <v>600798.81334200012</v>
      </c>
      <c r="K63" s="30">
        <f>J63*(1+K12)</f>
        <v>744990.52854408009</v>
      </c>
      <c r="L63" s="30">
        <f>K63*(1+L12)</f>
        <v>886538.72896745522</v>
      </c>
      <c r="M63" s="30">
        <f>L63*(1+M12)</f>
        <v>1019519.5383125735</v>
      </c>
      <c r="N63" s="30">
        <f>M63*(1+N12)</f>
        <v>1141861.8829100823</v>
      </c>
      <c r="O63" s="30">
        <f>N63*(1+O12)</f>
        <v>1256048.0712010907</v>
      </c>
      <c r="P63" s="30">
        <f>O63*(1+P12)</f>
        <v>1362812.1572531834</v>
      </c>
      <c r="Q63" s="30">
        <f>P63*(1+Q12)</f>
        <v>1458209.0082609064</v>
      </c>
      <c r="R63" s="30">
        <f>Q63*(1+R12)</f>
        <v>1545701.548756561</v>
      </c>
      <c r="S63" s="30">
        <f>R63*(1+S12)</f>
        <v>1622986.6261943891</v>
      </c>
    </row>
    <row r="64" spans="1:19" x14ac:dyDescent="0.3">
      <c r="A64" s="1" t="s">
        <v>374</v>
      </c>
      <c r="B64" s="77">
        <f>Historicals!B73</f>
        <v>2</v>
      </c>
      <c r="C64" s="77">
        <f>Historicals!C73</f>
        <v>98</v>
      </c>
      <c r="D64" s="77">
        <f>Historicals!D73</f>
        <v>789</v>
      </c>
      <c r="E64" s="30">
        <f>E65*E11</f>
        <v>11512.092000000001</v>
      </c>
      <c r="F64" s="30">
        <f>E64*(1+F13)</f>
        <v>27629.020800000002</v>
      </c>
      <c r="G64" s="30">
        <f>F64*(1+G13)</f>
        <v>49732.237440000004</v>
      </c>
      <c r="H64" s="30">
        <f>G64*(1+H13)</f>
        <v>74598.35616000001</v>
      </c>
      <c r="I64" s="30">
        <f>H64*(1+I13)</f>
        <v>101453.7643776</v>
      </c>
      <c r="J64" s="30">
        <f>I64*(1+J13)</f>
        <v>129860.81840332801</v>
      </c>
      <c r="K64" s="30">
        <f>J64*(1+K13)</f>
        <v>158430.19845206017</v>
      </c>
      <c r="L64" s="30">
        <f>K64*(1+L13)</f>
        <v>185363.3321889104</v>
      </c>
      <c r="M64" s="30">
        <f>L64*(1+M13)</f>
        <v>211314.19869535789</v>
      </c>
      <c r="N64" s="30">
        <f>M64*(1+N13)</f>
        <v>234558.76055184728</v>
      </c>
      <c r="O64" s="30">
        <f>N64*(1+O13)</f>
        <v>255669.04900151357</v>
      </c>
      <c r="P64" s="30">
        <f>O64*(1+P13)</f>
        <v>276122.57292163465</v>
      </c>
      <c r="Q64" s="30">
        <f>P64*(1+Q13)</f>
        <v>294070.54016154091</v>
      </c>
      <c r="R64" s="30">
        <f>Q64*(1+R13)</f>
        <v>310244.41987042566</v>
      </c>
      <c r="S64" s="30">
        <f>R64*(1+S13)</f>
        <v>325756.64086394693</v>
      </c>
    </row>
    <row r="65" spans="1:19" x14ac:dyDescent="0.3">
      <c r="A65" s="10" t="s">
        <v>375</v>
      </c>
      <c r="B65" s="87">
        <f>Historicals!B7</f>
        <v>41</v>
      </c>
      <c r="C65" s="87">
        <f>Historicals!C7</f>
        <v>386</v>
      </c>
      <c r="D65" s="87">
        <f>Historicals!D7</f>
        <v>4585</v>
      </c>
      <c r="E65" s="34">
        <f>F58</f>
        <v>57560.46</v>
      </c>
      <c r="F65" s="34">
        <f>F63+F64</f>
        <v>142749.94080000001</v>
      </c>
      <c r="G65" s="34">
        <f>G63+G64</f>
        <v>262705.93944000005</v>
      </c>
      <c r="H65" s="34">
        <f>H63+H64</f>
        <v>404707.5942600001</v>
      </c>
      <c r="I65" s="34">
        <f>I63+I64</f>
        <v>563606.69771760004</v>
      </c>
      <c r="J65" s="34">
        <f>J63+J64</f>
        <v>730659.6317453282</v>
      </c>
      <c r="K65" s="34">
        <f>K63+K64</f>
        <v>903420.72699614032</v>
      </c>
      <c r="L65" s="34">
        <f>L63+L64</f>
        <v>1071902.0611563656</v>
      </c>
      <c r="M65" s="34">
        <f>M63+M64</f>
        <v>1230833.7370079313</v>
      </c>
      <c r="N65" s="34">
        <f>N63+N64</f>
        <v>1376420.6434619296</v>
      </c>
      <c r="O65" s="34">
        <f>O63+O64</f>
        <v>1511717.1202026042</v>
      </c>
      <c r="P65" s="34">
        <f>P63+P64</f>
        <v>1638934.7301748181</v>
      </c>
      <c r="Q65" s="34">
        <f>Q63+Q64</f>
        <v>1752279.5484224474</v>
      </c>
      <c r="R65" s="34">
        <f>R63+R64</f>
        <v>1855945.9686269867</v>
      </c>
      <c r="S65" s="34">
        <f>S63+S64</f>
        <v>1948743.2670583359</v>
      </c>
    </row>
    <row r="66" spans="1:19" x14ac:dyDescent="0.3">
      <c r="A66" s="3" t="s">
        <v>376</v>
      </c>
      <c r="B66" s="75"/>
      <c r="C66" s="31">
        <f>C65/B65-1</f>
        <v>8.4146341463414629</v>
      </c>
      <c r="D66" s="31">
        <f>D65/C65-1</f>
        <v>10.878238341968911</v>
      </c>
      <c r="E66" s="31">
        <f>E65/D65-1</f>
        <v>11.554080697928026</v>
      </c>
      <c r="F66" s="31">
        <f>F65/E65-1</f>
        <v>1.4800000000000004</v>
      </c>
      <c r="G66" s="31">
        <f>G65/F65-1</f>
        <v>0.84032258064516152</v>
      </c>
      <c r="H66" s="31">
        <f>H65/G65-1</f>
        <v>0.54053461875547781</v>
      </c>
      <c r="I66" s="31">
        <f>I65/H65-1</f>
        <v>0.39262693784667868</v>
      </c>
      <c r="J66" s="31">
        <f>J65/I65-1</f>
        <v>0.29639983822802529</v>
      </c>
      <c r="K66" s="31">
        <f>K65/J65-1</f>
        <v>0.23644538133047988</v>
      </c>
      <c r="L66" s="31">
        <f>L65/K65-1</f>
        <v>0.1864926596497547</v>
      </c>
      <c r="M66" s="31">
        <f>M65/L65-1</f>
        <v>0.14827070644878759</v>
      </c>
      <c r="N66" s="31">
        <f>N65/M65-1</f>
        <v>0.11828316211733814</v>
      </c>
      <c r="O66" s="31">
        <f>O65/N65-1</f>
        <v>9.8295878795003455E-2</v>
      </c>
      <c r="P66" s="31">
        <f>P65/O65-1</f>
        <v>8.4154375360360856E-2</v>
      </c>
      <c r="Q66" s="31">
        <f>Q65/P65-1</f>
        <v>6.9157615712700959E-2</v>
      </c>
      <c r="R66" s="31">
        <f>R65/Q65-1</f>
        <v>5.9160891478684752E-2</v>
      </c>
      <c r="S66" s="31">
        <f>S65/R65-1</f>
        <v>5.0000000000000044E-2</v>
      </c>
    </row>
    <row r="67" spans="1:19" x14ac:dyDescent="0.3">
      <c r="A67" s="3" t="s">
        <v>377</v>
      </c>
      <c r="B67" s="31">
        <f>B64/B65</f>
        <v>4.878048780487805E-2</v>
      </c>
      <c r="C67" s="31">
        <f>C64/C65</f>
        <v>0.25388601036269431</v>
      </c>
      <c r="D67" s="31">
        <f>D64/D65</f>
        <v>0.17208287895310795</v>
      </c>
      <c r="E67" s="31">
        <f>E64/E65</f>
        <v>0.2</v>
      </c>
      <c r="F67" s="31">
        <f>F64/F65</f>
        <v>0.19354838709677419</v>
      </c>
      <c r="G67" s="31">
        <f>G64/G65</f>
        <v>0.18930762489044697</v>
      </c>
      <c r="H67" s="31">
        <f>H64/H65</f>
        <v>0.18432655383302515</v>
      </c>
      <c r="I67" s="31">
        <f>I64/I65</f>
        <v>0.18000808859875239</v>
      </c>
      <c r="J67" s="31">
        <f>J64/J65</f>
        <v>0.17773093347600058</v>
      </c>
      <c r="K67" s="31">
        <f>K64/K65</f>
        <v>0.17536701751224823</v>
      </c>
      <c r="L67" s="31">
        <f>L64/L65</f>
        <v>0.17292935512125132</v>
      </c>
      <c r="M67" s="31">
        <f>M64/M65</f>
        <v>0.1716837882661939</v>
      </c>
      <c r="N67" s="31">
        <f>N64/N65</f>
        <v>0.17041212049965518</v>
      </c>
      <c r="O67" s="31">
        <f>O64/O65</f>
        <v>0.16912492792781769</v>
      </c>
      <c r="P67" s="31">
        <f>P64/P65</f>
        <v>0.16847685745983421</v>
      </c>
      <c r="Q67" s="31">
        <f>Q64/Q65</f>
        <v>0.16782170426304893</v>
      </c>
      <c r="R67" s="31">
        <f>R64/R65</f>
        <v>0.16716242019693164</v>
      </c>
      <c r="S67" s="31">
        <f>S64/S65</f>
        <v>0.16716242019693164</v>
      </c>
    </row>
    <row r="68" spans="1:19" x14ac:dyDescent="0.3">
      <c r="A68" s="1" t="s">
        <v>378</v>
      </c>
      <c r="B68" s="77">
        <f>Historicals!B69</f>
        <v>34</v>
      </c>
      <c r="C68" s="77">
        <f>Historicals!C69</f>
        <v>263</v>
      </c>
      <c r="D68" s="77">
        <f>Historicals!D69</f>
        <v>3362</v>
      </c>
      <c r="E68" s="30">
        <f>E65*(1-E14)</f>
        <v>40867.926599999999</v>
      </c>
      <c r="F68" s="30">
        <f>F65*(1-F14)</f>
        <v>99924.958559999999</v>
      </c>
      <c r="G68" s="30">
        <f>G65*(1-G14)</f>
        <v>181267.09821360002</v>
      </c>
      <c r="H68" s="30">
        <f>H65*(1-H14)</f>
        <v>275201.16409680003</v>
      </c>
      <c r="I68" s="30">
        <f>I65*(1-I14)</f>
        <v>377616.48747079197</v>
      </c>
      <c r="J68" s="30">
        <f>J65*(1-J14)</f>
        <v>482235.35695191653</v>
      </c>
      <c r="K68" s="30">
        <f>K65*(1-K14)</f>
        <v>587223.4725474912</v>
      </c>
      <c r="L68" s="30">
        <f>L65*(1-L14)</f>
        <v>686017.31914007396</v>
      </c>
      <c r="M68" s="30">
        <f>M65*(1-M14)</f>
        <v>775425.25431499677</v>
      </c>
      <c r="N68" s="30">
        <f>N65*(1-N14)</f>
        <v>853380.79894639633</v>
      </c>
      <c r="O68" s="30">
        <f>O65*(1-O14)</f>
        <v>922147.44332358858</v>
      </c>
      <c r="P68" s="30">
        <f>P65*(1-P14)</f>
        <v>983360.83810489078</v>
      </c>
      <c r="Q68" s="30">
        <f>Q65*(1-Q14)</f>
        <v>1033844.9335692441</v>
      </c>
      <c r="R68" s="30">
        <f>R65*(1-R14)</f>
        <v>1076448.6618036525</v>
      </c>
      <c r="S68" s="30">
        <f>S65*(1-S14)</f>
        <v>1130271.094893835</v>
      </c>
    </row>
    <row r="69" spans="1:19" x14ac:dyDescent="0.3">
      <c r="A69" s="1" t="s">
        <v>379</v>
      </c>
      <c r="B69" s="77">
        <f>Historicals!B70</f>
        <v>7</v>
      </c>
      <c r="C69" s="77">
        <f>Historicals!C70</f>
        <v>123</v>
      </c>
      <c r="D69" s="77">
        <f>Historicals!D70</f>
        <v>1223</v>
      </c>
      <c r="E69" s="30">
        <f>E65*E14</f>
        <v>16692.5334</v>
      </c>
      <c r="F69" s="30">
        <f>F65*F14</f>
        <v>42824.982240000005</v>
      </c>
      <c r="G69" s="30">
        <f>G65*G14</f>
        <v>81438.841226400007</v>
      </c>
      <c r="H69" s="30">
        <f>H65*H14</f>
        <v>129506.43016320003</v>
      </c>
      <c r="I69" s="30">
        <f>I65*I14</f>
        <v>185990.21024680801</v>
      </c>
      <c r="J69" s="30">
        <f>J65*J14</f>
        <v>248424.27479341161</v>
      </c>
      <c r="K69" s="30">
        <f>K65*K14</f>
        <v>316197.25444864907</v>
      </c>
      <c r="L69" s="30">
        <f>L65*L14</f>
        <v>385884.7420162916</v>
      </c>
      <c r="M69" s="30">
        <f>M65*M14</f>
        <v>455408.48269293457</v>
      </c>
      <c r="N69" s="30">
        <f>N65*N14</f>
        <v>523039.84451553324</v>
      </c>
      <c r="O69" s="30">
        <f>O65*O14</f>
        <v>589569.67687901563</v>
      </c>
      <c r="P69" s="30">
        <f>P65*P14</f>
        <v>655573.8920699273</v>
      </c>
      <c r="Q69" s="30">
        <f>Q65*Q14</f>
        <v>718434.61485320341</v>
      </c>
      <c r="R69" s="30">
        <f>R65*R14</f>
        <v>779497.30682333442</v>
      </c>
      <c r="S69" s="30">
        <f>S65*S14</f>
        <v>818472.17216450104</v>
      </c>
    </row>
    <row r="70" spans="1:19" x14ac:dyDescent="0.3">
      <c r="A70" s="1" t="s">
        <v>380</v>
      </c>
      <c r="B70" s="22"/>
      <c r="C70" s="22"/>
      <c r="D70" s="78">
        <f>Historicals!E168</f>
        <v>1500</v>
      </c>
      <c r="E70" s="88">
        <f>D70*(1+E15)</f>
        <v>16500</v>
      </c>
      <c r="F70" s="88">
        <f>E70*(1+F15)</f>
        <v>37950</v>
      </c>
      <c r="G70" s="88">
        <f>F70*(1+G15)</f>
        <v>68310</v>
      </c>
      <c r="H70" s="88">
        <f>G70*(1+H15)</f>
        <v>102465</v>
      </c>
      <c r="I70" s="88">
        <f>H70*(1+I15)</f>
        <v>138327.75</v>
      </c>
      <c r="J70" s="88">
        <f>I70*(1+J15)</f>
        <v>174292.965</v>
      </c>
      <c r="K70" s="88">
        <f>J70*(1+K15)</f>
        <v>209151.55799999999</v>
      </c>
      <c r="L70" s="88">
        <f>K70*(1+L15)</f>
        <v>240524.29169999997</v>
      </c>
      <c r="M70" s="88">
        <f>L70*(1+M15)</f>
        <v>269387.20670400001</v>
      </c>
      <c r="N70" s="88">
        <f>M70*(1+N15)</f>
        <v>293632.05530736002</v>
      </c>
      <c r="O70" s="88">
        <f>N70*(1+O15)</f>
        <v>314186.29917887523</v>
      </c>
      <c r="P70" s="88">
        <f>O70*(1+P15)</f>
        <v>333037.47712960775</v>
      </c>
      <c r="Q70" s="88">
        <f>P70*(1+Q15)</f>
        <v>349689.35098608816</v>
      </c>
      <c r="R70" s="88">
        <f>Q70*(1+R15)</f>
        <v>363676.92502553167</v>
      </c>
      <c r="S70" s="88">
        <f>R70*(1+S15)</f>
        <v>376405.61740142526</v>
      </c>
    </row>
    <row r="71" spans="1:19" x14ac:dyDescent="0.3">
      <c r="A71" s="1" t="s">
        <v>381</v>
      </c>
      <c r="B71" s="9"/>
      <c r="C71" s="9"/>
      <c r="D71" s="9"/>
      <c r="E71" s="30">
        <f>E65*E16</f>
        <v>45472.763400000003</v>
      </c>
      <c r="F71" s="30">
        <f>F65*F16</f>
        <v>114199.95264000002</v>
      </c>
      <c r="G71" s="30">
        <f>G65*G16</f>
        <v>212791.81094640004</v>
      </c>
      <c r="H71" s="30">
        <f>H65*H16</f>
        <v>331860.22729320003</v>
      </c>
      <c r="I71" s="30">
        <f>I65*I16</f>
        <v>467793.55910560803</v>
      </c>
      <c r="J71" s="30">
        <f>J65*J16</f>
        <v>613754.0906660757</v>
      </c>
      <c r="K71" s="30">
        <f>K65*K16</f>
        <v>767907.61794671929</v>
      </c>
      <c r="L71" s="30">
        <f>L65*L16</f>
        <v>921835.77259447437</v>
      </c>
      <c r="M71" s="30">
        <f>M65*M16</f>
        <v>1070825.3511969002</v>
      </c>
      <c r="N71" s="30">
        <f>N65*N16</f>
        <v>1211250.166246498</v>
      </c>
      <c r="O71" s="30">
        <f>O65*O16</f>
        <v>1330311.0657782918</v>
      </c>
      <c r="P71" s="30">
        <f>P65*P16</f>
        <v>1442262.56255384</v>
      </c>
      <c r="Q71" s="30">
        <f>Q65*Q16</f>
        <v>1542006.0026117538</v>
      </c>
      <c r="R71" s="30">
        <f>R65*R16</f>
        <v>1633232.4523917483</v>
      </c>
      <c r="S71" s="30">
        <f>S65*S16</f>
        <v>1714894.0750113355</v>
      </c>
    </row>
    <row r="72" spans="1:19" x14ac:dyDescent="0.3">
      <c r="A72" s="3" t="s">
        <v>382</v>
      </c>
      <c r="B72" s="69"/>
      <c r="C72" s="69"/>
      <c r="D72" s="69"/>
      <c r="E72" s="89">
        <f>E71/AVERAGE(D70,E70)</f>
        <v>5.0525292666666672</v>
      </c>
      <c r="F72" s="89">
        <f>F71/AVERAGE(E70,F70)</f>
        <v>4.194672273278238</v>
      </c>
      <c r="G72" s="89">
        <f>G71/AVERAGE(F70,G70)</f>
        <v>4.0051159598418984</v>
      </c>
      <c r="H72" s="89">
        <f>H71/AVERAGE(G70,H70)</f>
        <v>3.8865200092894163</v>
      </c>
      <c r="I72" s="89">
        <f>I71/AVERAGE(H70,I70)</f>
        <v>3.8854455468913249</v>
      </c>
      <c r="J72" s="89">
        <f>J71/AVERAGE(I70,J70)</f>
        <v>3.9265094167932908</v>
      </c>
      <c r="K72" s="89">
        <f>K71/AVERAGE(J70,K70)</f>
        <v>4.0053127474021544</v>
      </c>
      <c r="L72" s="89">
        <f>L71/AVERAGE(K70,L70)</f>
        <v>4.1000012484969988</v>
      </c>
      <c r="M72" s="89">
        <f>M71/AVERAGE(L70,M70)</f>
        <v>4.2000439470321238</v>
      </c>
      <c r="N72" s="89">
        <f>N71/AVERAGE(M70,N70)</f>
        <v>4.3026953000483976</v>
      </c>
      <c r="O72" s="89">
        <f>O71/AVERAGE(N70,O70)</f>
        <v>4.3773310100276621</v>
      </c>
      <c r="P72" s="89">
        <f>P71/AVERAGE(O70,P70)</f>
        <v>4.4567663159099453</v>
      </c>
      <c r="Q72" s="89">
        <f>Q71/AVERAGE(P70,Q70)</f>
        <v>4.5171976231478723</v>
      </c>
      <c r="R72" s="89">
        <f>R71/AVERAGE(Q70,R70)</f>
        <v>4.5789449468316192</v>
      </c>
      <c r="S72" s="89">
        <f>S71/AVERAGE(R70,S70)</f>
        <v>4.6343319202954678</v>
      </c>
    </row>
    <row r="73" spans="1:19" x14ac:dyDescent="0.3">
      <c r="A73" s="1" t="s">
        <v>383</v>
      </c>
      <c r="B73" s="9"/>
      <c r="C73" s="9"/>
      <c r="D73" s="9"/>
      <c r="E73" s="30">
        <f>E65-E71</f>
        <v>12087.696599999996</v>
      </c>
      <c r="F73" s="30">
        <f>F65-F71</f>
        <v>28549.988159999994</v>
      </c>
      <c r="G73" s="30">
        <f>G65-G71</f>
        <v>49914.128493600001</v>
      </c>
      <c r="H73" s="30">
        <f>H65-H71</f>
        <v>72847.366966800066</v>
      </c>
      <c r="I73" s="30">
        <f>I65-I71</f>
        <v>95813.138611992006</v>
      </c>
      <c r="J73" s="30">
        <f>J65-J71</f>
        <v>116905.54107925249</v>
      </c>
      <c r="K73" s="30">
        <f>K65-K71</f>
        <v>135513.10904942104</v>
      </c>
      <c r="L73" s="30">
        <f>L65-L71</f>
        <v>150066.28856189118</v>
      </c>
      <c r="M73" s="30">
        <f>M65-M71</f>
        <v>160008.3858110311</v>
      </c>
      <c r="N73" s="30">
        <f>N65-N71</f>
        <v>165170.47721543163</v>
      </c>
      <c r="O73" s="30">
        <f>O65-O71</f>
        <v>181406.05442431243</v>
      </c>
      <c r="P73" s="30">
        <f>P65-P71</f>
        <v>196672.16762097809</v>
      </c>
      <c r="Q73" s="30">
        <f>Q65-Q71</f>
        <v>210273.54581069364</v>
      </c>
      <c r="R73" s="30">
        <f>R65-R71</f>
        <v>222713.51623523841</v>
      </c>
      <c r="S73" s="30">
        <f>S65-S71</f>
        <v>233849.1920470004</v>
      </c>
    </row>
    <row r="74" spans="1:19" ht="3" customHeight="1" x14ac:dyDescent="0.3"/>
    <row r="75" spans="1:19" x14ac:dyDescent="0.3">
      <c r="A75" s="5" t="s">
        <v>384</v>
      </c>
      <c r="B75" s="5"/>
      <c r="C75" s="5"/>
      <c r="D75" s="5"/>
      <c r="E75" s="5"/>
      <c r="F75" s="5"/>
      <c r="G75" s="5"/>
      <c r="H75" s="5"/>
      <c r="I75" s="5"/>
      <c r="J75" s="5"/>
      <c r="K75" s="5"/>
      <c r="L75" s="5"/>
      <c r="M75" s="5"/>
      <c r="N75" s="5"/>
      <c r="O75" s="5"/>
      <c r="P75" s="5"/>
      <c r="Q75" s="5"/>
      <c r="R75" s="5"/>
      <c r="S75" s="5"/>
    </row>
    <row r="76" spans="1:19" x14ac:dyDescent="0.3">
      <c r="A76" s="1" t="s">
        <v>385</v>
      </c>
      <c r="B76" s="9"/>
      <c r="C76" s="9"/>
      <c r="D76" s="9"/>
      <c r="E76" s="30">
        <f>E65*E17</f>
        <v>16692.5334</v>
      </c>
      <c r="F76" s="30">
        <f>F65*F17</f>
        <v>37828.734312000008</v>
      </c>
      <c r="G76" s="30">
        <f>G65*G17</f>
        <v>65676.484860000011</v>
      </c>
      <c r="H76" s="30">
        <f>H65*H17</f>
        <v>95106.284651100024</v>
      </c>
      <c r="I76" s="30">
        <f>I65*I17</f>
        <v>123993.47349787201</v>
      </c>
      <c r="J76" s="30">
        <f>J65*J17</f>
        <v>153438.52266651893</v>
      </c>
      <c r="K76" s="30">
        <f>K65*K17</f>
        <v>180684.14539922809</v>
      </c>
      <c r="L76" s="30">
        <f>L65*L17</f>
        <v>209020.90192549129</v>
      </c>
      <c r="M76" s="30">
        <f>M65*M17</f>
        <v>233858.41003150697</v>
      </c>
      <c r="N76" s="30">
        <f>N65*N17</f>
        <v>254637.81904045699</v>
      </c>
      <c r="O76" s="30">
        <f>O65*O17</f>
        <v>272109.08163646876</v>
      </c>
      <c r="P76" s="30">
        <f>P65*P17</f>
        <v>295008.25143146724</v>
      </c>
      <c r="Q76" s="30">
        <f>Q65*Q17</f>
        <v>315410.31871604052</v>
      </c>
      <c r="R76" s="30">
        <f>R65*R17</f>
        <v>334070.27435285761</v>
      </c>
      <c r="S76" s="30">
        <f>S65*S17</f>
        <v>350773.78807050048</v>
      </c>
    </row>
    <row r="77" spans="1:19" x14ac:dyDescent="0.3">
      <c r="A77" s="1" t="s">
        <v>386</v>
      </c>
      <c r="B77" s="9"/>
      <c r="C77" s="9"/>
      <c r="D77" s="9"/>
      <c r="E77" s="30">
        <f>E65*E18</f>
        <v>13814.510399999999</v>
      </c>
      <c r="F77" s="30">
        <f>F65*F18</f>
        <v>28549.988160000004</v>
      </c>
      <c r="G77" s="30">
        <f>G65*G18</f>
        <v>45973.539402000002</v>
      </c>
      <c r="H77" s="30">
        <f>H65*H18</f>
        <v>62729.677110300014</v>
      </c>
      <c r="I77" s="30">
        <f>I65*I18</f>
        <v>78904.93768046402</v>
      </c>
      <c r="J77" s="30">
        <f>J65*J18</f>
        <v>94985.752126892665</v>
      </c>
      <c r="K77" s="30">
        <f>K65*K18</f>
        <v>108410.48723953683</v>
      </c>
      <c r="L77" s="30">
        <f>L65*L18</f>
        <v>117909.22672720021</v>
      </c>
      <c r="M77" s="30">
        <f>M65*M18</f>
        <v>129237.54238583278</v>
      </c>
      <c r="N77" s="30">
        <f>N65*N18</f>
        <v>137642.06434619296</v>
      </c>
      <c r="O77" s="30">
        <f>O65*O18</f>
        <v>143613.12641924739</v>
      </c>
      <c r="P77" s="30">
        <f>P65*P18</f>
        <v>147504.12571573362</v>
      </c>
      <c r="Q77" s="30">
        <f>Q65*Q18</f>
        <v>157705.15935802026</v>
      </c>
      <c r="R77" s="30">
        <f>R65*R18</f>
        <v>167035.13717642881</v>
      </c>
      <c r="S77" s="30">
        <f>S65*S18</f>
        <v>175386.89403525024</v>
      </c>
    </row>
    <row r="78" spans="1:19" x14ac:dyDescent="0.3">
      <c r="A78" s="10" t="s">
        <v>387</v>
      </c>
      <c r="B78" s="87">
        <f>Historicals!B9</f>
        <v>433</v>
      </c>
      <c r="C78" s="87">
        <f>Historicals!C9</f>
        <v>2522</v>
      </c>
      <c r="D78" s="87">
        <f>Historicals!D9</f>
        <v>7326</v>
      </c>
      <c r="E78" s="34">
        <f>E76+E77</f>
        <v>30507.043799999999</v>
      </c>
      <c r="F78" s="34">
        <f>F76+F77</f>
        <v>66378.722472000009</v>
      </c>
      <c r="G78" s="34">
        <f>G76+G77</f>
        <v>111650.02426200002</v>
      </c>
      <c r="H78" s="34">
        <f>H76+H77</f>
        <v>157835.96176140005</v>
      </c>
      <c r="I78" s="34">
        <f>I76+I77</f>
        <v>202898.41117833601</v>
      </c>
      <c r="J78" s="34">
        <f>J76+J77</f>
        <v>248424.27479341161</v>
      </c>
      <c r="K78" s="34">
        <f>K76+K77</f>
        <v>289094.63263876492</v>
      </c>
      <c r="L78" s="34">
        <f>L76+L77</f>
        <v>326930.12865269149</v>
      </c>
      <c r="M78" s="34">
        <f>M76+M77</f>
        <v>363095.95241733978</v>
      </c>
      <c r="N78" s="34">
        <f>N76+N77</f>
        <v>392279.88338664995</v>
      </c>
      <c r="O78" s="34">
        <f>O76+O77</f>
        <v>415722.20805571612</v>
      </c>
      <c r="P78" s="34">
        <f>P76+P77</f>
        <v>442512.37714720087</v>
      </c>
      <c r="Q78" s="34">
        <f>Q76+Q77</f>
        <v>473115.47807406075</v>
      </c>
      <c r="R78" s="34">
        <f>R76+R77</f>
        <v>501105.41152928642</v>
      </c>
      <c r="S78" s="34">
        <f>S76+S77</f>
        <v>526160.68210575078</v>
      </c>
    </row>
    <row r="79" spans="1:19" x14ac:dyDescent="0.3">
      <c r="A79" s="3" t="s">
        <v>388</v>
      </c>
      <c r="B79" s="31">
        <f>B78/B65</f>
        <v>10.560975609756097</v>
      </c>
      <c r="C79" s="31">
        <f>C78/C65</f>
        <v>6.5336787564766841</v>
      </c>
      <c r="D79" s="31">
        <f>D78/D65</f>
        <v>1.5978189749182115</v>
      </c>
      <c r="E79" s="31">
        <f>E78/E65</f>
        <v>0.53</v>
      </c>
      <c r="F79" s="31">
        <f>F78/F65</f>
        <v>0.46500000000000002</v>
      </c>
      <c r="G79" s="31">
        <f>G78/G65</f>
        <v>0.42499999999999999</v>
      </c>
      <c r="H79" s="31">
        <f>H78/H65</f>
        <v>0.39</v>
      </c>
      <c r="I79" s="31">
        <f>I78/I65</f>
        <v>0.36</v>
      </c>
      <c r="J79" s="31">
        <f>J78/J65</f>
        <v>0.34</v>
      </c>
      <c r="K79" s="31">
        <f>K78/K65</f>
        <v>0.32</v>
      </c>
      <c r="L79" s="31">
        <f>L78/L65</f>
        <v>0.30499999999999999</v>
      </c>
      <c r="M79" s="31">
        <f>M78/M65</f>
        <v>0.29500000000000004</v>
      </c>
      <c r="N79" s="31">
        <f>N78/N65</f>
        <v>0.28499999999999998</v>
      </c>
      <c r="O79" s="31">
        <f>O78/O65</f>
        <v>0.27499999999999997</v>
      </c>
      <c r="P79" s="31">
        <f>P78/P65</f>
        <v>0.27</v>
      </c>
      <c r="Q79" s="31">
        <f>Q78/Q65</f>
        <v>0.26999999999999996</v>
      </c>
      <c r="R79" s="31">
        <f>R78/R65</f>
        <v>0.27</v>
      </c>
      <c r="S79" s="31">
        <f>S78/S65</f>
        <v>0.27</v>
      </c>
    </row>
    <row r="80" spans="1:19" x14ac:dyDescent="0.3">
      <c r="A80" s="1" t="s">
        <v>389</v>
      </c>
      <c r="B80" s="90"/>
      <c r="C80" s="90"/>
      <c r="D80" s="91">
        <f>D78/$E$19</f>
        <v>0.61050000000000004</v>
      </c>
      <c r="E80" s="91">
        <f>E78/E19</f>
        <v>2.5422536500000001</v>
      </c>
      <c r="F80" s="91">
        <f>F78/F19</f>
        <v>5.6444491897959193</v>
      </c>
      <c r="G80" s="91">
        <f>G78/G19</f>
        <v>9.687805798104959</v>
      </c>
      <c r="H80" s="91">
        <f>H78/H19</f>
        <v>13.974833478958418</v>
      </c>
      <c r="I80" s="91">
        <f>I78/I19</f>
        <v>18.33132261016371</v>
      </c>
      <c r="J80" s="91">
        <f>J78/J19</f>
        <v>22.902579035070673</v>
      </c>
      <c r="K80" s="91">
        <f>K78/K19</f>
        <v>27.195852592051335</v>
      </c>
      <c r="L80" s="91">
        <f>L78/L19</f>
        <v>31.382781728120133</v>
      </c>
      <c r="M80" s="91">
        <f>M78/M19</f>
        <v>35.565563650172372</v>
      </c>
      <c r="N80" s="91">
        <f>N78/N19</f>
        <v>39.208384146591698</v>
      </c>
      <c r="O80" s="91">
        <f>O78/O19</f>
        <v>42.399433758193979</v>
      </c>
      <c r="P80" s="91">
        <f>P78/P19</f>
        <v>46.052824197319218</v>
      </c>
      <c r="Q80" s="91">
        <f>Q78/Q19</f>
        <v>50.242707354465594</v>
      </c>
      <c r="R80" s="91">
        <f>R78/R19</f>
        <v>54.300945085149642</v>
      </c>
      <c r="S80" s="91">
        <f>S78/S19</f>
        <v>58.179802747299306</v>
      </c>
    </row>
    <row r="81" spans="1:19" x14ac:dyDescent="0.3">
      <c r="A81" s="1" t="s">
        <v>390</v>
      </c>
      <c r="B81" s="22"/>
      <c r="C81" s="22"/>
      <c r="D81" s="88">
        <f>D80*$E$20</f>
        <v>396.82500000000005</v>
      </c>
      <c r="E81" s="88">
        <f>E80*E20</f>
        <v>1652.4648725000002</v>
      </c>
      <c r="F81" s="88">
        <f>F80*F20</f>
        <v>3558.825214166327</v>
      </c>
      <c r="G81" s="88">
        <f>G80*G20</f>
        <v>5925.0620261209933</v>
      </c>
      <c r="H81" s="88">
        <f>H80*H20</f>
        <v>8289.8712197181339</v>
      </c>
      <c r="I81" s="88">
        <f>I80*I20</f>
        <v>10547.843029888198</v>
      </c>
      <c r="J81" s="88">
        <f>J80*J20</f>
        <v>12784.219617376451</v>
      </c>
      <c r="K81" s="88">
        <f>K80*K20</f>
        <v>14723.834593336593</v>
      </c>
      <c r="L81" s="88">
        <f>L80*L20</f>
        <v>16482.236963608695</v>
      </c>
      <c r="M81" s="88">
        <f>M80*M20</f>
        <v>18117.098123397805</v>
      </c>
      <c r="N81" s="88">
        <f>N80*N20</f>
        <v>19376.783445245615</v>
      </c>
      <c r="O81" s="88">
        <f>O80*O20</f>
        <v>20322.048600302376</v>
      </c>
      <c r="P81" s="88">
        <f>P80*P20</f>
        <v>21409.957969333704</v>
      </c>
      <c r="Q81" s="88">
        <f>Q80*Q20</f>
        <v>22659.461016863985</v>
      </c>
      <c r="R81" s="88">
        <f>R80*R20</f>
        <v>23756.663474752968</v>
      </c>
      <c r="S81" s="88">
        <f>S80*S20</f>
        <v>24685.690305679094</v>
      </c>
    </row>
    <row r="82" spans="1:19" x14ac:dyDescent="0.3">
      <c r="A82" s="1" t="s">
        <v>391</v>
      </c>
      <c r="B82" s="90"/>
      <c r="C82" s="90"/>
      <c r="D82" s="90"/>
      <c r="E82" s="91">
        <f>D85</f>
        <v>0</v>
      </c>
      <c r="F82" s="91">
        <f>E85</f>
        <v>0.19317536500000002</v>
      </c>
      <c r="G82" s="91">
        <f>F85</f>
        <v>0.96872424994897977</v>
      </c>
      <c r="H82" s="91">
        <f>G85</f>
        <v>2.3838990628571435</v>
      </c>
      <c r="I82" s="91">
        <f>H85</f>
        <v>4.3130615192412005</v>
      </c>
      <c r="J82" s="91">
        <f>I85</f>
        <v>6.4913060848438464</v>
      </c>
      <c r="K82" s="91">
        <f>J85</f>
        <v>8.776934297297327</v>
      </c>
      <c r="L82" s="91">
        <f>K85</f>
        <v>10.923571075787658</v>
      </c>
      <c r="M82" s="91">
        <f>L85</f>
        <v>13.017035643822057</v>
      </c>
      <c r="N82" s="91">
        <f>M85</f>
        <v>15.108426604848177</v>
      </c>
      <c r="O82" s="91">
        <f>N85</f>
        <v>16.929836853057839</v>
      </c>
      <c r="P82" s="91">
        <f>O85</f>
        <v>18.52536165885898</v>
      </c>
      <c r="Q82" s="91">
        <f>P85</f>
        <v>20.3520568784216</v>
      </c>
      <c r="R82" s="91">
        <f>Q85</f>
        <v>22.446998456994788</v>
      </c>
      <c r="S82" s="91">
        <f>R85</f>
        <v>24.476117322336812</v>
      </c>
    </row>
    <row r="83" spans="1:19" x14ac:dyDescent="0.3">
      <c r="A83" s="1" t="s">
        <v>392</v>
      </c>
      <c r="B83" s="90"/>
      <c r="C83" s="90"/>
      <c r="D83" s="90"/>
      <c r="E83" s="91">
        <f>MAX(0,E80-D80)</f>
        <v>1.9317536500000001</v>
      </c>
      <c r="F83" s="91">
        <f>MAX(0,F80-E80)</f>
        <v>3.1021955397959191</v>
      </c>
      <c r="G83" s="91">
        <f>MAX(0,G80-F80)</f>
        <v>4.0433566083090398</v>
      </c>
      <c r="H83" s="91">
        <f>MAX(0,H80-G80)</f>
        <v>4.2870276808534591</v>
      </c>
      <c r="I83" s="91">
        <f>MAX(0,I80-H80)</f>
        <v>4.3564891312052918</v>
      </c>
      <c r="J83" s="91">
        <f>MAX(0,J80-I80)</f>
        <v>4.5712564249069629</v>
      </c>
      <c r="K83" s="91">
        <f>MAX(0,K80-J80)</f>
        <v>4.2932735569806617</v>
      </c>
      <c r="L83" s="91">
        <f>MAX(0,L80-K80)</f>
        <v>4.1869291360687981</v>
      </c>
      <c r="M83" s="91">
        <f>MAX(0,M80-L80)</f>
        <v>4.1827819220522393</v>
      </c>
      <c r="N83" s="91">
        <f>MAX(0,N80-M80)</f>
        <v>3.6428204964193256</v>
      </c>
      <c r="O83" s="91">
        <f>MAX(0,O80-N80)</f>
        <v>3.1910496116022813</v>
      </c>
      <c r="P83" s="91">
        <f>MAX(0,P80-O80)</f>
        <v>3.6533904391252392</v>
      </c>
      <c r="Q83" s="91">
        <f>MAX(0,Q80-P80)</f>
        <v>4.1898831571463759</v>
      </c>
      <c r="R83" s="91">
        <f>MAX(0,R80-Q80)</f>
        <v>4.0582377306840485</v>
      </c>
      <c r="S83" s="91">
        <f>MAX(0,S80-R80)</f>
        <v>3.8788576621496631</v>
      </c>
    </row>
    <row r="84" spans="1:19" x14ac:dyDescent="0.3">
      <c r="A84" s="1" t="s">
        <v>393</v>
      </c>
      <c r="B84" s="90"/>
      <c r="C84" s="90"/>
      <c r="D84" s="90"/>
      <c r="E84" s="91">
        <f>E83*E21</f>
        <v>0.19317536500000002</v>
      </c>
      <c r="F84" s="91">
        <f>F83*F21</f>
        <v>0.77554888494897978</v>
      </c>
      <c r="G84" s="91">
        <f>G83*G21</f>
        <v>1.4151748129081638</v>
      </c>
      <c r="H84" s="91">
        <f>H83*H21</f>
        <v>1.9291624563840566</v>
      </c>
      <c r="I84" s="91">
        <f>I83*I21</f>
        <v>2.1782445656026459</v>
      </c>
      <c r="J84" s="91">
        <f>J83*J21</f>
        <v>2.2856282124534815</v>
      </c>
      <c r="K84" s="91">
        <f>K83*K21</f>
        <v>2.1466367784903309</v>
      </c>
      <c r="L84" s="91">
        <f>L83*L21</f>
        <v>2.0934645680343991</v>
      </c>
      <c r="M84" s="91">
        <f>M83*M21</f>
        <v>2.0913909610261197</v>
      </c>
      <c r="N84" s="91">
        <f>N83*N21</f>
        <v>1.8214102482096628</v>
      </c>
      <c r="O84" s="91">
        <f>O83*O21</f>
        <v>1.5955248058011406</v>
      </c>
      <c r="P84" s="91">
        <f>P83*P21</f>
        <v>1.8266952195626196</v>
      </c>
      <c r="Q84" s="91">
        <f>Q83*Q21</f>
        <v>2.094941578573188</v>
      </c>
      <c r="R84" s="91">
        <f>R83*R21</f>
        <v>2.0291188653420242</v>
      </c>
      <c r="S84" s="91">
        <f>S83*S21</f>
        <v>1.9394288310748315</v>
      </c>
    </row>
    <row r="85" spans="1:19" x14ac:dyDescent="0.3">
      <c r="A85" s="1" t="s">
        <v>394</v>
      </c>
      <c r="B85" s="90"/>
      <c r="C85" s="90"/>
      <c r="D85" s="92">
        <v>0</v>
      </c>
      <c r="E85" s="91">
        <f>E82+E84</f>
        <v>0.19317536500000002</v>
      </c>
      <c r="F85" s="91">
        <f>F82+F84</f>
        <v>0.96872424994897977</v>
      </c>
      <c r="G85" s="91">
        <f>G82+G84</f>
        <v>2.3838990628571435</v>
      </c>
      <c r="H85" s="91">
        <f>H82+H84</f>
        <v>4.3130615192412005</v>
      </c>
      <c r="I85" s="91">
        <f>I82+I84</f>
        <v>6.4913060848438464</v>
      </c>
      <c r="J85" s="91">
        <f>J82+J84</f>
        <v>8.776934297297327</v>
      </c>
      <c r="K85" s="91">
        <f>K82+K84</f>
        <v>10.923571075787658</v>
      </c>
      <c r="L85" s="91">
        <f>L82+L84</f>
        <v>13.017035643822057</v>
      </c>
      <c r="M85" s="91">
        <f>M82+M84</f>
        <v>15.108426604848177</v>
      </c>
      <c r="N85" s="91">
        <f>N82+N84</f>
        <v>16.929836853057839</v>
      </c>
      <c r="O85" s="91">
        <f>O82+O84</f>
        <v>18.52536165885898</v>
      </c>
      <c r="P85" s="91">
        <f>P82+P84</f>
        <v>20.3520568784216</v>
      </c>
      <c r="Q85" s="91">
        <f>Q82+Q84</f>
        <v>22.446998456994788</v>
      </c>
      <c r="R85" s="91">
        <f>R82+R84</f>
        <v>24.476117322336812</v>
      </c>
      <c r="S85" s="91">
        <f>S82+S84</f>
        <v>26.415546153411643</v>
      </c>
    </row>
    <row r="86" spans="1:19" x14ac:dyDescent="0.3">
      <c r="A86" s="3" t="s">
        <v>395</v>
      </c>
      <c r="B86" s="75"/>
      <c r="C86" s="75"/>
      <c r="D86" s="75"/>
      <c r="E86" s="31">
        <f>IF(E80&gt;0,E85/E80,0)</f>
        <v>7.5985873793513875E-2</v>
      </c>
      <c r="F86" s="31">
        <f>IF(F80&gt;0,F85/F80,0)</f>
        <v>0.17162423070443211</v>
      </c>
      <c r="G86" s="31">
        <f>IF(G80&gt;0,G85/G80,0)</f>
        <v>0.24607213568664438</v>
      </c>
      <c r="H86" s="31">
        <f>IF(H80&gt;0,H85/H80,0)</f>
        <v>0.30863061987359469</v>
      </c>
      <c r="I86" s="31">
        <f>IF(I80&gt;0,I85/I80,0)</f>
        <v>0.35411007830088453</v>
      </c>
      <c r="J86" s="31">
        <f>IF(J80&gt;0,J85/J80,0)</f>
        <v>0.38322908017726848</v>
      </c>
      <c r="K86" s="31">
        <f>IF(K80&gt;0,K85/K80,0)</f>
        <v>0.40166312266968029</v>
      </c>
      <c r="L86" s="31">
        <f>IF(L80&gt;0,L85/L80,0)</f>
        <v>0.4147827224684264</v>
      </c>
      <c r="M86" s="31">
        <f>IF(M80&gt;0,M85/M80,0)</f>
        <v>0.42480492516459673</v>
      </c>
      <c r="N86" s="31">
        <f>IF(N80&gt;0,N85/N80,0)</f>
        <v>0.43179124112232803</v>
      </c>
      <c r="O86" s="31">
        <f>IF(O80&gt;0,O85/O80,0)</f>
        <v>0.43692474207344401</v>
      </c>
      <c r="P86" s="31">
        <f>IF(P80&gt;0,P85/P80,0)</f>
        <v>0.44192852953427153</v>
      </c>
      <c r="Q86" s="31">
        <f>IF(Q80&gt;0,Q85/Q80,0)</f>
        <v>0.44677127565259855</v>
      </c>
      <c r="R86" s="31">
        <f>IF(R80&gt;0,R85/R80,0)</f>
        <v>0.45074937984883434</v>
      </c>
      <c r="S86" s="31">
        <f>IF(S80&gt;0,S85/S80,0)</f>
        <v>0.45403292733985501</v>
      </c>
    </row>
    <row r="87" spans="1:19" x14ac:dyDescent="0.3">
      <c r="A87" s="1" t="s">
        <v>396</v>
      </c>
      <c r="B87" s="90"/>
      <c r="C87" s="90"/>
      <c r="D87" s="90"/>
      <c r="E87" s="91">
        <f>E80-E85</f>
        <v>2.349078285</v>
      </c>
      <c r="F87" s="91">
        <f>F80-F85</f>
        <v>4.6757249398469396</v>
      </c>
      <c r="G87" s="91">
        <f>G80-G85</f>
        <v>7.303906735247816</v>
      </c>
      <c r="H87" s="91">
        <f>H80-H85</f>
        <v>9.6617719597172176</v>
      </c>
      <c r="I87" s="91">
        <f>I80-I85</f>
        <v>11.840016525319864</v>
      </c>
      <c r="J87" s="91">
        <f>J80-J85</f>
        <v>14.125644737773346</v>
      </c>
      <c r="K87" s="91">
        <f>K80-K85</f>
        <v>16.272281516263675</v>
      </c>
      <c r="L87" s="91">
        <f>L80-L85</f>
        <v>18.365746084298074</v>
      </c>
      <c r="M87" s="91">
        <f>M80-M85</f>
        <v>20.457137045324195</v>
      </c>
      <c r="N87" s="91">
        <f>N80-N85</f>
        <v>22.278547293533858</v>
      </c>
      <c r="O87" s="91">
        <f>O80-O85</f>
        <v>23.874072099334999</v>
      </c>
      <c r="P87" s="91">
        <f>P80-P85</f>
        <v>25.700767318897618</v>
      </c>
      <c r="Q87" s="91">
        <f>Q80-Q85</f>
        <v>27.795708897470806</v>
      </c>
      <c r="R87" s="91">
        <f>R80-R85</f>
        <v>29.824827762812831</v>
      </c>
      <c r="S87" s="91">
        <f>S80-S85</f>
        <v>31.764256593887662</v>
      </c>
    </row>
    <row r="88" spans="1:19" x14ac:dyDescent="0.3">
      <c r="A88" s="1" t="s">
        <v>397</v>
      </c>
      <c r="B88" s="22"/>
      <c r="C88" s="22"/>
      <c r="D88" s="22"/>
      <c r="E88" s="88">
        <f>E85*E20</f>
        <v>125.56398725000001</v>
      </c>
      <c r="F88" s="88">
        <f>F85*F20</f>
        <v>610.78063959283179</v>
      </c>
      <c r="G88" s="88">
        <f>G85*G20</f>
        <v>1457.9926668434291</v>
      </c>
      <c r="H88" s="88">
        <f>H85*H20</f>
        <v>2558.5080932138803</v>
      </c>
      <c r="I88" s="88">
        <f>I85*I20</f>
        <v>3735.0975212191493</v>
      </c>
      <c r="J88" s="88">
        <f>J85*J20</f>
        <v>4899.2847247513682</v>
      </c>
      <c r="K88" s="88">
        <f>K85*K20</f>
        <v>5914.021380431438</v>
      </c>
      <c r="L88" s="88">
        <f>L85*L20</f>
        <v>6836.5471201353448</v>
      </c>
      <c r="M88" s="88">
        <f>M85*M20</f>
        <v>7696.2325125096604</v>
      </c>
      <c r="N88" s="88">
        <f>N85*N20</f>
        <v>8366.725372781184</v>
      </c>
      <c r="O88" s="88">
        <f>O85*O20</f>
        <v>8879.2058430911093</v>
      </c>
      <c r="P88" s="88">
        <f>P85*P20</f>
        <v>9461.6712427782004</v>
      </c>
      <c r="Q88" s="88">
        <f>Q85*Q20</f>
        <v>10123.596304104649</v>
      </c>
      <c r="R88" s="88">
        <f>R85*R20</f>
        <v>10708.301328522355</v>
      </c>
      <c r="S88" s="88">
        <f>S85*S20</f>
        <v>11208.11623289256</v>
      </c>
    </row>
    <row r="89" spans="1:19" x14ac:dyDescent="0.3">
      <c r="A89" s="1" t="s">
        <v>398</v>
      </c>
      <c r="B89" s="9"/>
      <c r="C89" s="9"/>
      <c r="D89" s="9"/>
      <c r="E89" s="30">
        <f>MAX(0,E78-AVERAGE(E82,E85)*E19)</f>
        <v>29347.991610000001</v>
      </c>
      <c r="F89" s="30">
        <f t="shared" ref="F89:S89" si="0">MAX(0,F78-AVERAGE(F82,F85)*F19)</f>
        <v>59546.75273610001</v>
      </c>
      <c r="G89" s="30">
        <f t="shared" si="0"/>
        <v>92330.867684286015</v>
      </c>
      <c r="H89" s="30">
        <f t="shared" si="0"/>
        <v>120017.22081020338</v>
      </c>
      <c r="I89" s="30">
        <f t="shared" si="0"/>
        <v>143104.87998380855</v>
      </c>
      <c r="J89" s="30">
        <f t="shared" si="0"/>
        <v>165616.97308086895</v>
      </c>
      <c r="K89" s="30">
        <f t="shared" si="0"/>
        <v>184385.46155554955</v>
      </c>
      <c r="L89" s="30">
        <f t="shared" si="0"/>
        <v>202229.49340192438</v>
      </c>
      <c r="M89" s="30">
        <f t="shared" si="0"/>
        <v>219526.71782277772</v>
      </c>
      <c r="N89" s="30">
        <f t="shared" si="0"/>
        <v>232008.47043847511</v>
      </c>
      <c r="O89" s="30">
        <f t="shared" si="0"/>
        <v>241904.87011096952</v>
      </c>
      <c r="P89" s="30">
        <f t="shared" si="0"/>
        <v>255729.70752669009</v>
      </c>
      <c r="Q89" s="30">
        <f t="shared" si="0"/>
        <v>271604.68583831983</v>
      </c>
      <c r="R89" s="30">
        <f t="shared" si="0"/>
        <v>284595.11685608351</v>
      </c>
      <c r="S89" s="30">
        <f t="shared" si="0"/>
        <v>296036.21361793758</v>
      </c>
    </row>
    <row r="90" spans="1:19" x14ac:dyDescent="0.3">
      <c r="A90" s="1" t="s">
        <v>399</v>
      </c>
      <c r="B90" s="9"/>
      <c r="C90" s="9"/>
      <c r="D90" s="9"/>
      <c r="E90" s="30">
        <f>AVERAGE(E82,E85)*E23</f>
        <v>193.17536500000003</v>
      </c>
      <c r="F90" s="30">
        <f>AVERAGE(F82,F85)*F23</f>
        <v>1185.1376072479593</v>
      </c>
      <c r="G90" s="30">
        <f>AVERAGE(G82,G85)*G23</f>
        <v>3488.0692946434906</v>
      </c>
      <c r="H90" s="30">
        <f>AVERAGE(H82,H85)*H23</f>
        <v>7106.8145697227628</v>
      </c>
      <c r="I90" s="30">
        <f>AVERAGE(I82,I85)*I23</f>
        <v>11695.18771304186</v>
      </c>
      <c r="J90" s="30">
        <f>AVERAGE(J82,J85)*J23</f>
        <v>16857.664205922069</v>
      </c>
      <c r="K90" s="30">
        <f>AVERAGE(K82,K85)*K23</f>
        <v>22185.724125899658</v>
      </c>
      <c r="L90" s="30">
        <f>AVERAGE(L82,L85)*L23</f>
        <v>27500.57493881568</v>
      </c>
      <c r="M90" s="30">
        <f>AVERAGE(M82,M85)*M23</f>
        <v>32953.197843654481</v>
      </c>
      <c r="N90" s="30">
        <f>AVERAGE(N82,N85)*N23</f>
        <v>38288.928658543475</v>
      </c>
      <c r="O90" s="30">
        <f>AVERAGE(O82,O85)*O23</f>
        <v>43219.886986026606</v>
      </c>
      <c r="P90" s="30">
        <f>AVERAGE(P82,P85)*P23</f>
        <v>48338.238338327799</v>
      </c>
      <c r="Q90" s="30">
        <f>AVERAGE(Q82,Q85)*Q23</f>
        <v>54279.90192914183</v>
      </c>
      <c r="R90" s="30">
        <f>AVERAGE(R82,R85)*R23</f>
        <v>60699.742572143346</v>
      </c>
      <c r="S90" s="30">
        <f>AVERAGE(S82,S85)*S23</f>
        <v>67151.549956250092</v>
      </c>
    </row>
    <row r="91" spans="1:19" x14ac:dyDescent="0.3">
      <c r="A91" s="1" t="s">
        <v>400</v>
      </c>
      <c r="B91" s="9"/>
      <c r="C91" s="9"/>
      <c r="D91" s="9"/>
      <c r="E91" s="30">
        <f>AVERAGE(E82,E85)*E22/$E$24</f>
        <v>772.70146</v>
      </c>
      <c r="F91" s="30">
        <f>AVERAGE(F82,F85)*F22/$E$24</f>
        <v>4461.6945214040825</v>
      </c>
      <c r="G91" s="30">
        <f>AVERAGE(G82,G85)*G22/$E$24</f>
        <v>12359.110580328492</v>
      </c>
      <c r="H91" s="30">
        <f>AVERAGE(H82,H85)*H22/$E$24</f>
        <v>23700.141682411115</v>
      </c>
      <c r="I91" s="30">
        <f>AVERAGE(I82,I85)*I22/$E$24</f>
        <v>36706.650454442497</v>
      </c>
      <c r="J91" s="30">
        <f>AVERAGE(J82,J85)*J22/$E$24</f>
        <v>49797.213323949618</v>
      </c>
      <c r="K91" s="30">
        <f>AVERAGE(K82,K85)*K22/$E$24</f>
        <v>61682.873338290279</v>
      </c>
      <c r="L91" s="30">
        <f>AVERAGE(L82,L85)*L22/$E$24</f>
        <v>71960.436271735685</v>
      </c>
      <c r="M91" s="30">
        <f>AVERAGE(M82,M85)*M22/$E$24</f>
        <v>81157.708846272872</v>
      </c>
      <c r="N91" s="30">
        <f>AVERAGE(N82,N85)*N22/$E$24</f>
        <v>88750.475135283763</v>
      </c>
      <c r="O91" s="30">
        <f>AVERAGE(O82,O85)*O22/$E$24</f>
        <v>94287.073058695751</v>
      </c>
      <c r="P91" s="30">
        <f>AVERAGE(P82,P85)*P22/$E$24</f>
        <v>99252.49442893581</v>
      </c>
      <c r="Q91" s="30">
        <f>AVERAGE(Q82,Q85)*Q22/$E$24</f>
        <v>104893.63677825189</v>
      </c>
      <c r="R91" s="30">
        <f>AVERAGE(R82,R85)*R22/$E$24</f>
        <v>110401.17603676917</v>
      </c>
      <c r="S91" s="30">
        <f>AVERAGE(S82,S85)*S22/$E$24</f>
        <v>114948.49137603829</v>
      </c>
    </row>
    <row r="92" spans="1:19" x14ac:dyDescent="0.3">
      <c r="A92" s="1" t="s">
        <v>401</v>
      </c>
      <c r="B92" s="9"/>
      <c r="C92" s="9"/>
      <c r="D92" s="9"/>
      <c r="E92" s="30">
        <f>E84*E22+E82*E22/$E$24</f>
        <v>7727.0146000000004</v>
      </c>
      <c r="F92" s="30">
        <f>F84*F22+F82*F22/$E$24</f>
        <v>31264.663985240823</v>
      </c>
      <c r="G92" s="30">
        <f>G84*G22+G82*G22/$E$24</f>
        <v>59311.214453070388</v>
      </c>
      <c r="H92" s="30">
        <f>H84*H22+H82*H22/$E$24</f>
        <v>85144.85333297326</v>
      </c>
      <c r="I92" s="30">
        <f>I84*I22+I82*I22/$E$24</f>
        <v>103309.76719703746</v>
      </c>
      <c r="J92" s="30">
        <f>J84*J22+J82*J22/$E$24</f>
        <v>116888.19535166377</v>
      </c>
      <c r="K92" s="30">
        <f>K84*K22+K82*K22/$E$24</f>
        <v>122173.53071129951</v>
      </c>
      <c r="L92" s="30">
        <f>L84*L22+L82*L22/$E$24</f>
        <v>128593.07004730473</v>
      </c>
      <c r="M92" s="30">
        <f>M84*M22+M82*M22/$E$24</f>
        <v>135471.21575975962</v>
      </c>
      <c r="N92" s="30">
        <f>N84*N22+N82*N22/$E$24</f>
        <v>134160.52760006342</v>
      </c>
      <c r="O92" s="30">
        <f>O84*O22+O82*O22/$E$24</f>
        <v>132474.31589499608</v>
      </c>
      <c r="P92" s="30">
        <f>P84*P22+P82*P22/$E$24</f>
        <v>141223.81287854709</v>
      </c>
      <c r="Q92" s="30">
        <f>Q84*Q22+Q82*Q22/$E$24</f>
        <v>151102.93634412473</v>
      </c>
      <c r="R92" s="30">
        <f>R84*R22+R82*R22/$E$24</f>
        <v>153368.35645485748</v>
      </c>
      <c r="S92" s="30">
        <f>S84*S22+S82*S22/$E$24</f>
        <v>154373.60793418199</v>
      </c>
    </row>
    <row r="93" spans="1:19" x14ac:dyDescent="0.3">
      <c r="A93" s="3" t="s">
        <v>402</v>
      </c>
      <c r="B93" s="9"/>
      <c r="C93" s="9"/>
      <c r="D93" s="9"/>
      <c r="E93" s="30">
        <f>E78-E89-E90-E91</f>
        <v>193.17536499999846</v>
      </c>
      <c r="F93" s="30">
        <f>F78-F89-F90-F91</f>
        <v>1185.1376072479561</v>
      </c>
      <c r="G93" s="30">
        <f>G78-G89-G90-G91</f>
        <v>3471.9767027420239</v>
      </c>
      <c r="H93" s="30">
        <f>H78-H89-H90-H91</f>
        <v>7011.7846990627913</v>
      </c>
      <c r="I93" s="30">
        <f>I78-I89-I90-I91</f>
        <v>11391.693027043104</v>
      </c>
      <c r="J93" s="30">
        <f>J78-J89-J90-J91</f>
        <v>16152.424182670962</v>
      </c>
      <c r="K93" s="30">
        <f>K78-K89-K90-K91</f>
        <v>20840.573619025417</v>
      </c>
      <c r="L93" s="30">
        <f>L78-L89-L90-L91</f>
        <v>25239.624040215742</v>
      </c>
      <c r="M93" s="30">
        <f>M78-M89-M90-M91</f>
        <v>29458.327904634702</v>
      </c>
      <c r="N93" s="30">
        <f>N78-N89-N90-N91</f>
        <v>33232.009154347601</v>
      </c>
      <c r="O93" s="30">
        <f>O78-O89-O90-O91</f>
        <v>36310.37790002425</v>
      </c>
      <c r="P93" s="30">
        <f>P78-P89-P90-P91</f>
        <v>39191.936853247171</v>
      </c>
      <c r="Q93" s="30">
        <f>Q78-Q89-Q90-Q91</f>
        <v>42337.253528347195</v>
      </c>
      <c r="R93" s="30">
        <f>R78-R89-R90-R91</f>
        <v>45409.37606429038</v>
      </c>
      <c r="S93" s="30">
        <f>S78-S89-S90-S91</f>
        <v>48024.427155524812</v>
      </c>
    </row>
    <row r="94" spans="1:19" ht="3" customHeight="1" x14ac:dyDescent="0.3"/>
    <row r="95" spans="1:19" x14ac:dyDescent="0.3">
      <c r="A95" s="5" t="s">
        <v>403</v>
      </c>
      <c r="B95" s="5"/>
      <c r="C95" s="5"/>
      <c r="D95" s="5"/>
      <c r="E95" s="5"/>
      <c r="F95" s="5"/>
      <c r="G95" s="5"/>
      <c r="H95" s="5"/>
      <c r="I95" s="5"/>
      <c r="J95" s="5"/>
      <c r="K95" s="5"/>
      <c r="L95" s="5"/>
      <c r="M95" s="5"/>
      <c r="N95" s="5"/>
      <c r="O95" s="5"/>
      <c r="P95" s="5"/>
      <c r="Q95" s="5"/>
      <c r="R95" s="5"/>
      <c r="S95" s="5"/>
    </row>
    <row r="96" spans="1:19" x14ac:dyDescent="0.3">
      <c r="A96" s="1" t="s">
        <v>404</v>
      </c>
      <c r="B96" s="22"/>
      <c r="C96" s="22"/>
      <c r="D96" s="22"/>
      <c r="E96" s="88">
        <f>E25</f>
        <v>6000</v>
      </c>
      <c r="F96" s="88">
        <f>E96*(1+F26)</f>
        <v>8100.0000000000009</v>
      </c>
      <c r="G96" s="88">
        <f>F96*(1+G26)</f>
        <v>10368.000000000002</v>
      </c>
      <c r="H96" s="88">
        <f>G96*(1+H26)</f>
        <v>12648.960000000003</v>
      </c>
      <c r="I96" s="88">
        <f>H96*(1+I26)</f>
        <v>14925.772800000002</v>
      </c>
      <c r="J96" s="88">
        <f>I96*(1+J26)</f>
        <v>17164.638720000003</v>
      </c>
      <c r="K96" s="88">
        <f>J96*(1+K26)</f>
        <v>19224.395366400004</v>
      </c>
      <c r="L96" s="88">
        <f>K96*(1+L26)</f>
        <v>21146.834903040006</v>
      </c>
      <c r="M96" s="88">
        <f>L96*(1+M26)</f>
        <v>22838.581695283206</v>
      </c>
      <c r="N96" s="88">
        <f>M96*(1+N26)</f>
        <v>24437.282413953031</v>
      </c>
      <c r="O96" s="88">
        <f>N96*(1+O26)</f>
        <v>25903.519358790214</v>
      </c>
      <c r="P96" s="88">
        <f>O96*(1+P26)</f>
        <v>27198.695326729725</v>
      </c>
      <c r="Q96" s="88">
        <f>P96*(1+Q26)</f>
        <v>28422.636616432559</v>
      </c>
      <c r="R96" s="88">
        <f>Q96*(1+R26)</f>
        <v>29559.542081089861</v>
      </c>
      <c r="S96" s="88">
        <f>R96*(1+S26)</f>
        <v>30594.126053928005</v>
      </c>
    </row>
    <row r="97" spans="1:19" x14ac:dyDescent="0.3">
      <c r="A97" s="1" t="s">
        <v>405</v>
      </c>
      <c r="B97" s="22"/>
      <c r="C97" s="22"/>
      <c r="D97" s="22"/>
      <c r="E97" s="78">
        <f>AVERAGE(Historicals!H172,E96)</f>
        <v>5650</v>
      </c>
      <c r="F97" s="88">
        <f>AVERAGE(E96,F96)</f>
        <v>7050</v>
      </c>
      <c r="G97" s="88">
        <f>AVERAGE(F96,G96)</f>
        <v>9234.0000000000018</v>
      </c>
      <c r="H97" s="88">
        <f>AVERAGE(G96,H96)</f>
        <v>11508.480000000003</v>
      </c>
      <c r="I97" s="88">
        <f>AVERAGE(H96,I96)</f>
        <v>13787.366400000003</v>
      </c>
      <c r="J97" s="88">
        <f>AVERAGE(I96,J96)</f>
        <v>16045.205760000003</v>
      </c>
      <c r="K97" s="88">
        <f>AVERAGE(J96,K96)</f>
        <v>18194.517043200001</v>
      </c>
      <c r="L97" s="88">
        <f>AVERAGE(K96,L96)</f>
        <v>20185.615134720007</v>
      </c>
      <c r="M97" s="88">
        <f>AVERAGE(L96,M96)</f>
        <v>21992.708299161604</v>
      </c>
      <c r="N97" s="88">
        <f>AVERAGE(M96,N96)</f>
        <v>23637.932054618119</v>
      </c>
      <c r="O97" s="88">
        <f>AVERAGE(N96,O96)</f>
        <v>25170.400886371623</v>
      </c>
      <c r="P97" s="88">
        <f>AVERAGE(O96,P96)</f>
        <v>26551.107342759969</v>
      </c>
      <c r="Q97" s="88">
        <f>AVERAGE(P96,Q96)</f>
        <v>27810.66597158114</v>
      </c>
      <c r="R97" s="88">
        <f>AVERAGE(Q96,R96)</f>
        <v>28991.089348761212</v>
      </c>
      <c r="S97" s="88">
        <f>AVERAGE(R96,S96)</f>
        <v>30076.834067508935</v>
      </c>
    </row>
    <row r="98" spans="1:19" x14ac:dyDescent="0.3">
      <c r="A98" s="1" t="s">
        <v>406</v>
      </c>
      <c r="B98" s="69"/>
      <c r="C98" s="69"/>
      <c r="D98" s="69"/>
      <c r="E98" s="89">
        <f>E27</f>
        <v>1.5</v>
      </c>
      <c r="F98" s="89">
        <f>E98*(1+F28)</f>
        <v>1.56</v>
      </c>
      <c r="G98" s="89">
        <f>F98*(1+G28)</f>
        <v>1.6224000000000001</v>
      </c>
      <c r="H98" s="89">
        <f>G98*(1+H28)</f>
        <v>1.6872960000000001</v>
      </c>
      <c r="I98" s="89">
        <f>H98*(1+I28)</f>
        <v>1.7547878400000001</v>
      </c>
      <c r="J98" s="89">
        <f>I98*(1+J28)</f>
        <v>1.8249793536000001</v>
      </c>
      <c r="K98" s="89">
        <f>J98*(1+K28)</f>
        <v>1.8979785277440002</v>
      </c>
      <c r="L98" s="89">
        <f>K98*(1+L28)</f>
        <v>1.9738976688537604</v>
      </c>
      <c r="M98" s="89">
        <f>L98*(1+M28)</f>
        <v>2.0528535756079109</v>
      </c>
      <c r="N98" s="89">
        <f>M98*(1+N28)</f>
        <v>2.1349677186322276</v>
      </c>
      <c r="O98" s="89">
        <f>N98*(1+O28)</f>
        <v>2.2203664273775168</v>
      </c>
      <c r="P98" s="89">
        <f>O98*(1+P28)</f>
        <v>2.3091810844726175</v>
      </c>
      <c r="Q98" s="89">
        <f>P98*(1+Q28)</f>
        <v>2.4015483278515224</v>
      </c>
      <c r="R98" s="89">
        <f>Q98*(1+R28)</f>
        <v>2.4976102609655833</v>
      </c>
      <c r="S98" s="89">
        <f>R98*(1+S28)</f>
        <v>2.5975146714042068</v>
      </c>
    </row>
    <row r="99" spans="1:19" x14ac:dyDescent="0.3">
      <c r="A99" s="1" t="s">
        <v>407</v>
      </c>
      <c r="B99" s="77">
        <f>Historicals!B10</f>
        <v>95</v>
      </c>
      <c r="C99" s="77">
        <f>Historicals!C10</f>
        <v>454</v>
      </c>
      <c r="D99" s="77">
        <f>Historicals!D10</f>
        <v>1839</v>
      </c>
      <c r="E99" s="30">
        <f>E45+E97*E98*(1-E50)</f>
        <v>7389.5</v>
      </c>
      <c r="F99" s="30">
        <f>F97*F98</f>
        <v>10998</v>
      </c>
      <c r="G99" s="30">
        <f>G97*G98</f>
        <v>14981.241600000003</v>
      </c>
      <c r="H99" s="30">
        <f>H97*H98</f>
        <v>19418.212270080006</v>
      </c>
      <c r="I99" s="30">
        <f>I97*I98</f>
        <v>24193.902904344581</v>
      </c>
      <c r="J99" s="30">
        <f>J97*J98</f>
        <v>29282.169236263802</v>
      </c>
      <c r="K99" s="30">
        <f>K97*K98</f>
        <v>34532.802670665857</v>
      </c>
      <c r="L99" s="30">
        <f>L97*L98</f>
        <v>39844.338658803004</v>
      </c>
      <c r="M99" s="30">
        <f>M97*M98</f>
        <v>45147.80986923568</v>
      </c>
      <c r="N99" s="30">
        <f>N97*N98</f>
        <v>50466.221871831651</v>
      </c>
      <c r="O99" s="30">
        <f>O97*O98</f>
        <v>55887.513091732842</v>
      </c>
      <c r="P99" s="30">
        <f>P97*P98</f>
        <v>61311.314847703346</v>
      </c>
      <c r="Q99" s="30">
        <f>Q97*Q98</f>
        <v>66788.658360487927</v>
      </c>
      <c r="R99" s="30">
        <f>R97*R98</f>
        <v>72408.442234036032</v>
      </c>
      <c r="S99" s="30">
        <f>S97*S98</f>
        <v>78125.017759744325</v>
      </c>
    </row>
    <row r="100" spans="1:19" x14ac:dyDescent="0.3">
      <c r="A100" s="3" t="s">
        <v>408</v>
      </c>
      <c r="B100" s="77">
        <f>Historicals!B25</f>
        <v>29</v>
      </c>
      <c r="C100" s="77">
        <f>Historicals!C25</f>
        <v>192</v>
      </c>
      <c r="D100" s="77">
        <f>Historicals!D25</f>
        <v>1158</v>
      </c>
      <c r="E100" s="30">
        <f>E48+(E99-E45)*E29</f>
        <v>4939.375</v>
      </c>
      <c r="F100" s="30">
        <f>F99*F29</f>
        <v>6598.8</v>
      </c>
      <c r="G100" s="30">
        <f>G99*G29</f>
        <v>8239.6828800000021</v>
      </c>
      <c r="H100" s="30">
        <f>H99*H29</f>
        <v>9709.1061350400032</v>
      </c>
      <c r="I100" s="30">
        <f>I99*I29</f>
        <v>11129.195335998507</v>
      </c>
      <c r="J100" s="30">
        <f>J99*J29</f>
        <v>12298.511079230797</v>
      </c>
      <c r="K100" s="30">
        <f>K99*K29</f>
        <v>13813.121068266344</v>
      </c>
      <c r="L100" s="30">
        <f>L99*L29</f>
        <v>15140.848690345141</v>
      </c>
      <c r="M100" s="30">
        <f>M99*M29</f>
        <v>16253.211552924844</v>
      </c>
      <c r="N100" s="30">
        <f>N99*N29</f>
        <v>17663.177655141077</v>
      </c>
      <c r="O100" s="30">
        <f>O99*O29</f>
        <v>19001.754451189168</v>
      </c>
      <c r="P100" s="30">
        <f>P99*P29</f>
        <v>20232.733899742107</v>
      </c>
      <c r="Q100" s="30">
        <f>Q99*Q29</f>
        <v>21372.370675356138</v>
      </c>
      <c r="R100" s="30">
        <f>R99*R29</f>
        <v>22446.617092551169</v>
      </c>
      <c r="S100" s="30">
        <f>S99*S29</f>
        <v>23437.505327923296</v>
      </c>
    </row>
    <row r="101" spans="1:19" x14ac:dyDescent="0.3">
      <c r="A101" s="3" t="s">
        <v>409</v>
      </c>
      <c r="B101" s="30">
        <f>B99-B100</f>
        <v>66</v>
      </c>
      <c r="C101" s="30">
        <f>C99-C100</f>
        <v>262</v>
      </c>
      <c r="D101" s="30">
        <f>D99-D100</f>
        <v>681</v>
      </c>
      <c r="E101" s="30">
        <f>E99-E100</f>
        <v>2450.125</v>
      </c>
      <c r="F101" s="30">
        <f>F99-F100</f>
        <v>4399.2</v>
      </c>
      <c r="G101" s="30">
        <f>G99-G100</f>
        <v>6741.5587200000009</v>
      </c>
      <c r="H101" s="30">
        <f>H99-H100</f>
        <v>9709.1061350400032</v>
      </c>
      <c r="I101" s="30">
        <f>I99-I100</f>
        <v>13064.707568346073</v>
      </c>
      <c r="J101" s="30">
        <f>J99-J100</f>
        <v>16983.658157033005</v>
      </c>
      <c r="K101" s="30">
        <f>K99-K100</f>
        <v>20719.681602399512</v>
      </c>
      <c r="L101" s="30">
        <f>L99-L100</f>
        <v>24703.489968457863</v>
      </c>
      <c r="M101" s="30">
        <f>M99-M100</f>
        <v>28894.598316310836</v>
      </c>
      <c r="N101" s="30">
        <f>N99-N100</f>
        <v>32803.04421669057</v>
      </c>
      <c r="O101" s="30">
        <f>O99-O100</f>
        <v>36885.758640543674</v>
      </c>
      <c r="P101" s="30">
        <f>P99-P100</f>
        <v>41078.580947961236</v>
      </c>
      <c r="Q101" s="30">
        <f>Q99-Q100</f>
        <v>45416.287685131785</v>
      </c>
      <c r="R101" s="30">
        <f>R99-R100</f>
        <v>49961.825141484864</v>
      </c>
      <c r="S101" s="30">
        <f>S99-S100</f>
        <v>54687.512431821029</v>
      </c>
    </row>
    <row r="102" spans="1:19" x14ac:dyDescent="0.3">
      <c r="A102" s="1" t="s">
        <v>410</v>
      </c>
      <c r="B102" s="77">
        <f>Historicals!B12</f>
        <v>2</v>
      </c>
      <c r="C102" s="77">
        <f>Historicals!C12</f>
        <v>43</v>
      </c>
      <c r="D102" s="77">
        <f>Historicals!D12</f>
        <v>568</v>
      </c>
      <c r="E102" s="30">
        <f>E46+E51*E30</f>
        <v>10803.775099999999</v>
      </c>
      <c r="F102" s="30">
        <f>F65*F30</f>
        <v>22839.990528000002</v>
      </c>
      <c r="G102" s="30">
        <f>G65*G30</f>
        <v>38092.361218800004</v>
      </c>
      <c r="H102" s="30">
        <f>H65*H30</f>
        <v>54635.52522510002</v>
      </c>
      <c r="I102" s="30">
        <f>I65*I30</f>
        <v>70450.837214700005</v>
      </c>
      <c r="J102" s="30">
        <f>J65*J30</f>
        <v>84025.857650712744</v>
      </c>
      <c r="K102" s="30">
        <f>K65*K30</f>
        <v>99376.279969575437</v>
      </c>
      <c r="L102" s="30">
        <f>L65*L30</f>
        <v>112549.71642141837</v>
      </c>
      <c r="M102" s="30">
        <f>M65*M30</f>
        <v>123083.37370079313</v>
      </c>
      <c r="N102" s="30">
        <f>N65*N30</f>
        <v>137642.06434619296</v>
      </c>
      <c r="O102" s="30">
        <f>O65*O30</f>
        <v>151171.71202026043</v>
      </c>
      <c r="P102" s="30">
        <f>P65*P30</f>
        <v>163893.47301748183</v>
      </c>
      <c r="Q102" s="30">
        <f>Q65*Q30</f>
        <v>175227.95484224474</v>
      </c>
      <c r="R102" s="30">
        <f>R65*R30</f>
        <v>185594.59686269867</v>
      </c>
      <c r="S102" s="30">
        <f>S65*S30</f>
        <v>194874.32670583361</v>
      </c>
    </row>
    <row r="103" spans="1:19" x14ac:dyDescent="0.3">
      <c r="A103" s="1" t="s">
        <v>411</v>
      </c>
      <c r="B103" s="77">
        <f>Historicals!B13</f>
        <v>62</v>
      </c>
      <c r="C103" s="77">
        <f>Historicals!C13</f>
        <v>347</v>
      </c>
      <c r="D103" s="77">
        <f>Historicals!D13</f>
        <v>1412</v>
      </c>
      <c r="E103" s="30">
        <f>E47+E51*E31</f>
        <v>5635.0736999999999</v>
      </c>
      <c r="F103" s="30">
        <f>F65*F31</f>
        <v>12133.744968000003</v>
      </c>
      <c r="G103" s="30">
        <f>G65*G31</f>
        <v>19702.945458000002</v>
      </c>
      <c r="H103" s="30">
        <f>H65*H31</f>
        <v>28329.53159820001</v>
      </c>
      <c r="I103" s="30">
        <f>I65*I31</f>
        <v>36634.435351644002</v>
      </c>
      <c r="J103" s="30">
        <f>J65*J31</f>
        <v>43839.577904719692</v>
      </c>
      <c r="K103" s="30">
        <f>K65*K31</f>
        <v>49688.139984787718</v>
      </c>
      <c r="L103" s="30">
        <f>L65*L31</f>
        <v>58954.613363600103</v>
      </c>
      <c r="M103" s="30">
        <f>M65*M31</f>
        <v>61541.686850396567</v>
      </c>
      <c r="N103" s="30">
        <f>N65*N31</f>
        <v>68821.032173096479</v>
      </c>
      <c r="O103" s="30">
        <f>O65*O31</f>
        <v>75585.856010130214</v>
      </c>
      <c r="P103" s="30">
        <f>P65*P31</f>
        <v>81946.736508740913</v>
      </c>
      <c r="Q103" s="30">
        <f>Q65*Q31</f>
        <v>87613.97742112237</v>
      </c>
      <c r="R103" s="30">
        <f>R65*R31</f>
        <v>92797.298431349336</v>
      </c>
      <c r="S103" s="30">
        <f>S65*S31</f>
        <v>97437.163352916803</v>
      </c>
    </row>
    <row r="104" spans="1:19" x14ac:dyDescent="0.3">
      <c r="A104" s="3" t="s">
        <v>412</v>
      </c>
      <c r="B104" s="36"/>
      <c r="C104" s="36"/>
      <c r="D104" s="36"/>
      <c r="E104" s="93">
        <f>E65/E97</f>
        <v>10.18769203539823</v>
      </c>
      <c r="F104" s="93">
        <f>F65/F97</f>
        <v>20.248218553191492</v>
      </c>
      <c r="G104" s="93">
        <f>G65/G97</f>
        <v>28.449852657569849</v>
      </c>
      <c r="H104" s="93">
        <f>H65/H97</f>
        <v>35.166033590882549</v>
      </c>
      <c r="I104" s="93">
        <f>I65/I97</f>
        <v>40.878488419485244</v>
      </c>
      <c r="J104" s="93">
        <f>J65/J97</f>
        <v>45.537566963885922</v>
      </c>
      <c r="K104" s="93">
        <f>K65/K97</f>
        <v>49.653460152369576</v>
      </c>
      <c r="L104" s="93">
        <f>L65/L97</f>
        <v>53.102273772804388</v>
      </c>
      <c r="M104" s="93">
        <f>M65/M97</f>
        <v>55.965537316513789</v>
      </c>
      <c r="N104" s="93">
        <f>N65/N97</f>
        <v>58.229317195833964</v>
      </c>
      <c r="O104" s="93">
        <f>O65/O97</f>
        <v>60.059318364735113</v>
      </c>
      <c r="P104" s="93">
        <f>P65/P97</f>
        <v>61.727547142086614</v>
      </c>
      <c r="Q104" s="93">
        <f>Q65/Q97</f>
        <v>63.007464481902289</v>
      </c>
      <c r="R104" s="93">
        <f>R65/R97</f>
        <v>64.017807206209426</v>
      </c>
      <c r="S104" s="93">
        <f>S65/S97</f>
        <v>64.7921673765359</v>
      </c>
    </row>
    <row r="105" spans="1:19" ht="3" customHeight="1" x14ac:dyDescent="0.3"/>
    <row r="106" spans="1:19" x14ac:dyDescent="0.3">
      <c r="A106" s="5" t="s">
        <v>413</v>
      </c>
      <c r="B106" s="5"/>
      <c r="C106" s="5"/>
      <c r="D106" s="5"/>
      <c r="E106" s="5"/>
      <c r="F106" s="5"/>
      <c r="G106" s="5"/>
      <c r="H106" s="5"/>
      <c r="I106" s="5"/>
      <c r="J106" s="5"/>
      <c r="K106" s="5"/>
      <c r="L106" s="5"/>
      <c r="M106" s="5"/>
      <c r="N106" s="5"/>
      <c r="O106" s="5"/>
      <c r="P106" s="5"/>
      <c r="Q106" s="5"/>
      <c r="R106" s="5"/>
      <c r="S106" s="5"/>
    </row>
    <row r="107" spans="1:19" x14ac:dyDescent="0.3">
      <c r="A107" s="10" t="s">
        <v>14</v>
      </c>
      <c r="B107" s="34">
        <f>B65</f>
        <v>41</v>
      </c>
      <c r="C107" s="34">
        <f>C65</f>
        <v>386</v>
      </c>
      <c r="D107" s="34">
        <f>D65</f>
        <v>4585</v>
      </c>
      <c r="E107" s="34">
        <f>E65</f>
        <v>57560.46</v>
      </c>
      <c r="F107" s="34">
        <f>F65</f>
        <v>142749.94080000001</v>
      </c>
      <c r="G107" s="34">
        <f>G65</f>
        <v>262705.93944000005</v>
      </c>
      <c r="H107" s="34">
        <f>H65</f>
        <v>404707.5942600001</v>
      </c>
      <c r="I107" s="34">
        <f>I65</f>
        <v>563606.69771760004</v>
      </c>
      <c r="J107" s="34">
        <f>J65</f>
        <v>730659.6317453282</v>
      </c>
      <c r="K107" s="34">
        <f>K65</f>
        <v>903420.72699614032</v>
      </c>
      <c r="L107" s="34">
        <f>L65</f>
        <v>1071902.0611563656</v>
      </c>
      <c r="M107" s="34">
        <f>M65</f>
        <v>1230833.7370079313</v>
      </c>
      <c r="N107" s="34">
        <f>N65</f>
        <v>1376420.6434619296</v>
      </c>
      <c r="O107" s="34">
        <f>O65</f>
        <v>1511717.1202026042</v>
      </c>
      <c r="P107" s="34">
        <f>P65</f>
        <v>1638934.7301748181</v>
      </c>
      <c r="Q107" s="34">
        <f>Q65</f>
        <v>1752279.5484224474</v>
      </c>
      <c r="R107" s="34">
        <f>R65</f>
        <v>1855945.9686269867</v>
      </c>
      <c r="S107" s="34">
        <f>S65</f>
        <v>1948743.2670583359</v>
      </c>
    </row>
    <row r="108" spans="1:19" x14ac:dyDescent="0.3">
      <c r="A108" s="1" t="s">
        <v>414</v>
      </c>
      <c r="B108" s="77">
        <f>Historicals!B9</f>
        <v>433</v>
      </c>
      <c r="C108" s="77">
        <f>Historicals!C9</f>
        <v>2522</v>
      </c>
      <c r="D108" s="77">
        <f>Historicals!D9</f>
        <v>7326</v>
      </c>
      <c r="E108" s="30">
        <f>E44+E51*(E89+E90)/E65</f>
        <v>30127.869536882758</v>
      </c>
      <c r="F108" s="30">
        <f>F89+F90</f>
        <v>60731.890343347972</v>
      </c>
      <c r="G108" s="30">
        <f>G89+G90</f>
        <v>95818.936978929501</v>
      </c>
      <c r="H108" s="30">
        <f>H89+H90</f>
        <v>127124.03537992614</v>
      </c>
      <c r="I108" s="30">
        <f>I89+I90</f>
        <v>154800.06769685043</v>
      </c>
      <c r="J108" s="30">
        <f>J89+J90</f>
        <v>182474.63728679102</v>
      </c>
      <c r="K108" s="30">
        <f>K89+K90</f>
        <v>206571.18568144922</v>
      </c>
      <c r="L108" s="30">
        <f>L89+L90</f>
        <v>229730.06834074005</v>
      </c>
      <c r="M108" s="30">
        <f>M89+M90</f>
        <v>252479.91566643221</v>
      </c>
      <c r="N108" s="30">
        <f>N89+N90</f>
        <v>270297.39909701858</v>
      </c>
      <c r="O108" s="30">
        <f>O89+O90</f>
        <v>285124.75709699612</v>
      </c>
      <c r="P108" s="30">
        <f>P89+P90</f>
        <v>304067.94586501789</v>
      </c>
      <c r="Q108" s="30">
        <f>Q89+Q90</f>
        <v>325884.58776746166</v>
      </c>
      <c r="R108" s="30">
        <f>R89+R90</f>
        <v>345294.85942822683</v>
      </c>
      <c r="S108" s="30">
        <f>S89+S90</f>
        <v>363187.76357418764</v>
      </c>
    </row>
    <row r="109" spans="1:19" x14ac:dyDescent="0.3">
      <c r="A109" s="1" t="s">
        <v>17</v>
      </c>
      <c r="B109" s="30">
        <f>B99</f>
        <v>95</v>
      </c>
      <c r="C109" s="30">
        <f>C99</f>
        <v>454</v>
      </c>
      <c r="D109" s="30">
        <f>D99</f>
        <v>1839</v>
      </c>
      <c r="E109" s="30">
        <f>E99</f>
        <v>7389.5</v>
      </c>
      <c r="F109" s="30">
        <f>F99</f>
        <v>10998</v>
      </c>
      <c r="G109" s="30">
        <f>G99</f>
        <v>14981.241600000003</v>
      </c>
      <c r="H109" s="30">
        <f>H99</f>
        <v>19418.212270080006</v>
      </c>
      <c r="I109" s="30">
        <f>I99</f>
        <v>24193.902904344581</v>
      </c>
      <c r="J109" s="30">
        <f>J99</f>
        <v>29282.169236263802</v>
      </c>
      <c r="K109" s="30">
        <f>K99</f>
        <v>34532.802670665857</v>
      </c>
      <c r="L109" s="30">
        <f>L99</f>
        <v>39844.338658803004</v>
      </c>
      <c r="M109" s="30">
        <f>M99</f>
        <v>45147.80986923568</v>
      </c>
      <c r="N109" s="30">
        <f>N99</f>
        <v>50466.221871831651</v>
      </c>
      <c r="O109" s="30">
        <f>O99</f>
        <v>55887.513091732842</v>
      </c>
      <c r="P109" s="30">
        <f>P99</f>
        <v>61311.314847703346</v>
      </c>
      <c r="Q109" s="30">
        <f>Q99</f>
        <v>66788.658360487927</v>
      </c>
      <c r="R109" s="30">
        <f>R99</f>
        <v>72408.442234036032</v>
      </c>
      <c r="S109" s="30">
        <f>S99</f>
        <v>78125.017759744325</v>
      </c>
    </row>
    <row r="110" spans="1:19" x14ac:dyDescent="0.3">
      <c r="A110" s="1" t="s">
        <v>415</v>
      </c>
      <c r="B110" s="30">
        <f>B102</f>
        <v>2</v>
      </c>
      <c r="C110" s="30">
        <f>C102</f>
        <v>43</v>
      </c>
      <c r="D110" s="30">
        <f>D102</f>
        <v>568</v>
      </c>
      <c r="E110" s="30">
        <f>E102</f>
        <v>10803.775099999999</v>
      </c>
      <c r="F110" s="30">
        <f>F102</f>
        <v>22839.990528000002</v>
      </c>
      <c r="G110" s="30">
        <f>G102</f>
        <v>38092.361218800004</v>
      </c>
      <c r="H110" s="30">
        <f>H102</f>
        <v>54635.52522510002</v>
      </c>
      <c r="I110" s="30">
        <f>I102</f>
        <v>70450.837214700005</v>
      </c>
      <c r="J110" s="30">
        <f>J102</f>
        <v>84025.857650712744</v>
      </c>
      <c r="K110" s="30">
        <f>K102</f>
        <v>99376.279969575437</v>
      </c>
      <c r="L110" s="30">
        <f>L102</f>
        <v>112549.71642141837</v>
      </c>
      <c r="M110" s="30">
        <f>M102</f>
        <v>123083.37370079313</v>
      </c>
      <c r="N110" s="30">
        <f>N102</f>
        <v>137642.06434619296</v>
      </c>
      <c r="O110" s="30">
        <f>O102</f>
        <v>151171.71202026043</v>
      </c>
      <c r="P110" s="30">
        <f>P102</f>
        <v>163893.47301748183</v>
      </c>
      <c r="Q110" s="30">
        <f>Q102</f>
        <v>175227.95484224474</v>
      </c>
      <c r="R110" s="30">
        <f>R102</f>
        <v>185594.59686269867</v>
      </c>
      <c r="S110" s="30">
        <f>S102</f>
        <v>194874.32670583361</v>
      </c>
    </row>
    <row r="111" spans="1:19" x14ac:dyDescent="0.3">
      <c r="A111" s="1" t="s">
        <v>416</v>
      </c>
      <c r="B111" s="30">
        <f>B103</f>
        <v>62</v>
      </c>
      <c r="C111" s="30">
        <f>C103</f>
        <v>347</v>
      </c>
      <c r="D111" s="30">
        <f>D103</f>
        <v>1412</v>
      </c>
      <c r="E111" s="30">
        <f>E103</f>
        <v>5635.0736999999999</v>
      </c>
      <c r="F111" s="30">
        <f>F103</f>
        <v>12133.744968000003</v>
      </c>
      <c r="G111" s="30">
        <f>G103</f>
        <v>19702.945458000002</v>
      </c>
      <c r="H111" s="30">
        <f>H103</f>
        <v>28329.53159820001</v>
      </c>
      <c r="I111" s="30">
        <f>I103</f>
        <v>36634.435351644002</v>
      </c>
      <c r="J111" s="30">
        <f>J103</f>
        <v>43839.577904719692</v>
      </c>
      <c r="K111" s="30">
        <f>K103</f>
        <v>49688.139984787718</v>
      </c>
      <c r="L111" s="30">
        <f>L103</f>
        <v>58954.613363600103</v>
      </c>
      <c r="M111" s="30">
        <f>M103</f>
        <v>61541.686850396567</v>
      </c>
      <c r="N111" s="30">
        <f>N103</f>
        <v>68821.032173096479</v>
      </c>
      <c r="O111" s="30">
        <f>O103</f>
        <v>75585.856010130214</v>
      </c>
      <c r="P111" s="30">
        <f>P103</f>
        <v>81946.736508740913</v>
      </c>
      <c r="Q111" s="30">
        <f>Q103</f>
        <v>87613.97742112237</v>
      </c>
      <c r="R111" s="30">
        <f>R103</f>
        <v>92797.298431349336</v>
      </c>
      <c r="S111" s="30">
        <f>S103</f>
        <v>97437.163352916803</v>
      </c>
    </row>
    <row r="112" spans="1:19" x14ac:dyDescent="0.3">
      <c r="A112" s="1" t="s">
        <v>417</v>
      </c>
      <c r="B112" s="77">
        <f>Historicals!B11</f>
        <v>0</v>
      </c>
      <c r="C112" s="77">
        <f>Historicals!C11</f>
        <v>0</v>
      </c>
      <c r="D112" s="77">
        <f>Historicals!D11</f>
        <v>1500</v>
      </c>
      <c r="E112" s="30">
        <f>0</f>
        <v>0</v>
      </c>
      <c r="F112" s="30">
        <f>0</f>
        <v>0</v>
      </c>
      <c r="G112" s="30">
        <f>0</f>
        <v>0</v>
      </c>
      <c r="H112" s="30">
        <f>0</f>
        <v>0</v>
      </c>
      <c r="I112" s="30">
        <f>0</f>
        <v>0</v>
      </c>
      <c r="J112" s="30">
        <f>0</f>
        <v>0</v>
      </c>
      <c r="K112" s="30">
        <f>0</f>
        <v>0</v>
      </c>
      <c r="L112" s="30">
        <f>0</f>
        <v>0</v>
      </c>
      <c r="M112" s="30">
        <f>0</f>
        <v>0</v>
      </c>
      <c r="N112" s="30">
        <f>0</f>
        <v>0</v>
      </c>
      <c r="O112" s="30">
        <f>0</f>
        <v>0</v>
      </c>
      <c r="P112" s="30">
        <f>0</f>
        <v>0</v>
      </c>
      <c r="Q112" s="30">
        <f>0</f>
        <v>0</v>
      </c>
      <c r="R112" s="30">
        <f>0</f>
        <v>0</v>
      </c>
      <c r="S112" s="30">
        <f>0</f>
        <v>0</v>
      </c>
    </row>
    <row r="113" spans="1:19" x14ac:dyDescent="0.3">
      <c r="A113" s="1" t="s">
        <v>21</v>
      </c>
      <c r="B113" s="30">
        <f>SUM(B108:B112)</f>
        <v>592</v>
      </c>
      <c r="C113" s="30">
        <f>SUM(C108:C112)</f>
        <v>3366</v>
      </c>
      <c r="D113" s="30">
        <f>SUM(D108:D112)</f>
        <v>12645</v>
      </c>
      <c r="E113" s="30">
        <f>SUM(E108:E112)</f>
        <v>53956.218336882761</v>
      </c>
      <c r="F113" s="30">
        <f>SUM(F108:F112)</f>
        <v>106703.62583934797</v>
      </c>
      <c r="G113" s="30">
        <f>SUM(G108:G112)</f>
        <v>168595.48525572952</v>
      </c>
      <c r="H113" s="30">
        <f>SUM(H108:H112)</f>
        <v>229507.30447330617</v>
      </c>
      <c r="I113" s="30">
        <f>SUM(I108:I112)</f>
        <v>286079.24316753901</v>
      </c>
      <c r="J113" s="30">
        <f>SUM(J108:J112)</f>
        <v>339622.24207848724</v>
      </c>
      <c r="K113" s="30">
        <f>SUM(K108:K112)</f>
        <v>390168.40830647823</v>
      </c>
      <c r="L113" s="30">
        <f>SUM(L108:L112)</f>
        <v>441078.73678456154</v>
      </c>
      <c r="M113" s="30">
        <f>SUM(M108:M112)</f>
        <v>482252.78608685761</v>
      </c>
      <c r="N113" s="30">
        <f>SUM(N108:N112)</f>
        <v>527226.71748813963</v>
      </c>
      <c r="O113" s="30">
        <f>SUM(O108:O112)</f>
        <v>567769.8382191197</v>
      </c>
      <c r="P113" s="30">
        <f>SUM(P108:P112)</f>
        <v>611219.47023894393</v>
      </c>
      <c r="Q113" s="30">
        <f>SUM(Q108:Q112)</f>
        <v>655515.17839131667</v>
      </c>
      <c r="R113" s="30">
        <f>SUM(R108:R112)</f>
        <v>696095.19695631089</v>
      </c>
      <c r="S113" s="30">
        <f>SUM(S108:S112)</f>
        <v>733624.27139268245</v>
      </c>
    </row>
    <row r="114" spans="1:19" x14ac:dyDescent="0.3">
      <c r="A114" s="10" t="s">
        <v>418</v>
      </c>
      <c r="B114" s="87">
        <f>Historicals!B15+Historicals!B26</f>
        <v>-548</v>
      </c>
      <c r="C114" s="87">
        <f>Historicals!C15+Historicals!C26</f>
        <v>-2959</v>
      </c>
      <c r="D114" s="87">
        <f>Historicals!D15+Historicals!D26</f>
        <v>-8020</v>
      </c>
      <c r="E114" s="34">
        <f>E107-E113+E49</f>
        <v>3701.2416631172382</v>
      </c>
      <c r="F114" s="34">
        <f>F107-F113</f>
        <v>36046.314960652046</v>
      </c>
      <c r="G114" s="34">
        <f>G107-G113</f>
        <v>94110.454184270522</v>
      </c>
      <c r="H114" s="34">
        <f>H107-H113</f>
        <v>175200.28978669393</v>
      </c>
      <c r="I114" s="34">
        <f>I107-I113</f>
        <v>277527.45455006103</v>
      </c>
      <c r="J114" s="34">
        <f>J107-J113</f>
        <v>391037.38966684096</v>
      </c>
      <c r="K114" s="34">
        <f>K107-K113</f>
        <v>513252.31868966209</v>
      </c>
      <c r="L114" s="34">
        <f>L107-L113</f>
        <v>630823.32437180402</v>
      </c>
      <c r="M114" s="34">
        <f>M107-M113</f>
        <v>748580.95092107379</v>
      </c>
      <c r="N114" s="34">
        <f>N107-N113</f>
        <v>849193.92597379</v>
      </c>
      <c r="O114" s="34">
        <f>O107-O113</f>
        <v>943947.28198348451</v>
      </c>
      <c r="P114" s="34">
        <f>P107-P113</f>
        <v>1027715.2599358741</v>
      </c>
      <c r="Q114" s="34">
        <f>Q107-Q113</f>
        <v>1096764.3700311307</v>
      </c>
      <c r="R114" s="34">
        <f>R107-R113</f>
        <v>1159850.7716706758</v>
      </c>
      <c r="S114" s="34">
        <f>S107-S113</f>
        <v>1215118.9956656536</v>
      </c>
    </row>
    <row r="115" spans="1:19" x14ac:dyDescent="0.3">
      <c r="A115" s="3" t="s">
        <v>419</v>
      </c>
      <c r="B115" s="31">
        <f>B114/B65</f>
        <v>-13.365853658536585</v>
      </c>
      <c r="C115" s="31">
        <f>C114/C65</f>
        <v>-7.6658031088082899</v>
      </c>
      <c r="D115" s="31">
        <f>D114/D65</f>
        <v>-1.7491821155943292</v>
      </c>
      <c r="E115" s="31">
        <f>E114/E65</f>
        <v>6.4301808274590547E-2</v>
      </c>
      <c r="F115" s="31">
        <f>F114/F65</f>
        <v>0.25251369463721729</v>
      </c>
      <c r="G115" s="31">
        <f>G114/G65</f>
        <v>0.35823496942962951</v>
      </c>
      <c r="H115" s="31">
        <f>H114/H65</f>
        <v>0.43290586159383598</v>
      </c>
      <c r="I115" s="31">
        <f>I114/I65</f>
        <v>0.49241333659437547</v>
      </c>
      <c r="J115" s="31">
        <f>J114/J65</f>
        <v>0.53518406201362068</v>
      </c>
      <c r="K115" s="31">
        <f>K114/K65</f>
        <v>0.56812103525255386</v>
      </c>
      <c r="L115" s="31">
        <f>L114/L65</f>
        <v>0.58850836026126607</v>
      </c>
      <c r="M115" s="31">
        <f>M114/M65</f>
        <v>0.60819014657562154</v>
      </c>
      <c r="N115" s="31">
        <f>N114/N65</f>
        <v>0.61695814430530793</v>
      </c>
      <c r="O115" s="31">
        <f>O114/O65</f>
        <v>0.62442058065531092</v>
      </c>
      <c r="P115" s="31">
        <f>P114/P65</f>
        <v>0.62706295803875745</v>
      </c>
      <c r="Q115" s="31">
        <f>Q114/Q65</f>
        <v>0.62590719101785575</v>
      </c>
      <c r="R115" s="31">
        <f>R114/R65</f>
        <v>0.62493778982624359</v>
      </c>
      <c r="S115" s="31">
        <f>S114/S65</f>
        <v>0.62353980445043344</v>
      </c>
    </row>
    <row r="116" spans="1:19" x14ac:dyDescent="0.3">
      <c r="A116" s="1" t="s">
        <v>420</v>
      </c>
      <c r="B116" s="30">
        <f>B114+B100+B112</f>
        <v>-519</v>
      </c>
      <c r="C116" s="30">
        <f>C114+C100+C112</f>
        <v>-2767</v>
      </c>
      <c r="D116" s="30">
        <f>D114+D100+D112</f>
        <v>-5362</v>
      </c>
      <c r="E116" s="30">
        <f>E114+E100+E112</f>
        <v>8640.6166631172382</v>
      </c>
      <c r="F116" s="30">
        <f>F114+F100+F112</f>
        <v>42645.114960652048</v>
      </c>
      <c r="G116" s="30">
        <f>G114+G100+G112</f>
        <v>102350.13706427053</v>
      </c>
      <c r="H116" s="30">
        <f>H114+H100+H112</f>
        <v>184909.39592173393</v>
      </c>
      <c r="I116" s="30">
        <f>I114+I100+I112</f>
        <v>288656.64988605952</v>
      </c>
      <c r="J116" s="30">
        <f>J114+J100+J112</f>
        <v>403335.90074607177</v>
      </c>
      <c r="K116" s="30">
        <f>K114+K100+K112</f>
        <v>527065.43975792849</v>
      </c>
      <c r="L116" s="30">
        <f>L114+L100+L112</f>
        <v>645964.1730621492</v>
      </c>
      <c r="M116" s="30">
        <f>M114+M100+M112</f>
        <v>764834.16247399861</v>
      </c>
      <c r="N116" s="30">
        <f>N114+N100+N112</f>
        <v>866857.1036289311</v>
      </c>
      <c r="O116" s="30">
        <f>O114+O100+O112</f>
        <v>962949.0364346737</v>
      </c>
      <c r="P116" s="30">
        <f>P114+P100+P112</f>
        <v>1047947.9938356163</v>
      </c>
      <c r="Q116" s="30">
        <f>Q114+Q100+Q112</f>
        <v>1118136.7407064869</v>
      </c>
      <c r="R116" s="30">
        <f>R114+R100+R112</f>
        <v>1182297.388763227</v>
      </c>
      <c r="S116" s="30">
        <f>S114+S100+S112</f>
        <v>1238556.5009935768</v>
      </c>
    </row>
    <row r="117" spans="1:19" x14ac:dyDescent="0.3">
      <c r="A117" s="3" t="s">
        <v>421</v>
      </c>
      <c r="B117" s="31">
        <f>B116/B65</f>
        <v>-12.658536585365853</v>
      </c>
      <c r="C117" s="31">
        <f>C116/C65</f>
        <v>-7.1683937823834194</v>
      </c>
      <c r="D117" s="31">
        <f>D116/D65</f>
        <v>-1.1694656488549617</v>
      </c>
      <c r="E117" s="31">
        <f>E116/E65</f>
        <v>0.15011375279344949</v>
      </c>
      <c r="F117" s="31">
        <f>F116/F65</f>
        <v>0.29873998351004599</v>
      </c>
      <c r="G117" s="31">
        <f>G116/G65</f>
        <v>0.38959963098834499</v>
      </c>
      <c r="H117" s="31">
        <f>H116/H65</f>
        <v>0.45689628399446552</v>
      </c>
      <c r="I117" s="31">
        <f>I116/I65</f>
        <v>0.51215972247138453</v>
      </c>
      <c r="J117" s="31">
        <f>J116/J65</f>
        <v>0.55201612792350718</v>
      </c>
      <c r="K117" s="31">
        <f>K116/K65</f>
        <v>0.58341083396482696</v>
      </c>
      <c r="L117" s="31">
        <f>L116/L65</f>
        <v>0.60263357677032969</v>
      </c>
      <c r="M117" s="31">
        <f>M116/M65</f>
        <v>0.62139518886868972</v>
      </c>
      <c r="N117" s="31">
        <f>N116/N65</f>
        <v>0.62979083301790617</v>
      </c>
      <c r="O117" s="31">
        <f>O116/O65</f>
        <v>0.63699023022615286</v>
      </c>
      <c r="P117" s="31">
        <f>P116/P65</f>
        <v>0.63940800969165879</v>
      </c>
      <c r="Q117" s="31">
        <f>Q116/Q65</f>
        <v>0.63810408659573159</v>
      </c>
      <c r="R117" s="31">
        <f>R116/R65</f>
        <v>0.63703222440138207</v>
      </c>
      <c r="S117" s="31">
        <f>S116/S65</f>
        <v>0.63556678908412645</v>
      </c>
    </row>
    <row r="118" spans="1:19" x14ac:dyDescent="0.3">
      <c r="A118" s="1" t="s">
        <v>422</v>
      </c>
      <c r="B118" s="77">
        <f>Historicals!B26</f>
        <v>3</v>
      </c>
      <c r="C118" s="77">
        <f>Historicals!C26</f>
        <v>21</v>
      </c>
      <c r="D118" s="77">
        <f>Historicals!D26</f>
        <v>40</v>
      </c>
      <c r="E118" s="30">
        <f>E91+E65*E33</f>
        <v>1060.5037600000001</v>
      </c>
      <c r="F118" s="30">
        <f>F91+F65*F33</f>
        <v>5175.4442254040823</v>
      </c>
      <c r="G118" s="30">
        <f>G91+G65*G33</f>
        <v>13672.640277528491</v>
      </c>
      <c r="H118" s="30">
        <f>H91+H65*H33</f>
        <v>25723.679653711115</v>
      </c>
      <c r="I118" s="30">
        <f>I91+I65*I33</f>
        <v>39524.683943030497</v>
      </c>
      <c r="J118" s="30">
        <f>J91+J65*J33</f>
        <v>53450.511482676258</v>
      </c>
      <c r="K118" s="30">
        <f>K91+K65*K33</f>
        <v>66199.976973270983</v>
      </c>
      <c r="L118" s="30">
        <f>L91+L65*L33</f>
        <v>77319.946577517519</v>
      </c>
      <c r="M118" s="30">
        <f>M91+M65*M33</f>
        <v>87311.877531312522</v>
      </c>
      <c r="N118" s="30">
        <f>N91+N65*N33</f>
        <v>95632.578352593409</v>
      </c>
      <c r="O118" s="30">
        <f>O91+O65*O33</f>
        <v>101845.65865970877</v>
      </c>
      <c r="P118" s="30">
        <f>P91+P65*P33</f>
        <v>107447.1680798099</v>
      </c>
      <c r="Q118" s="30">
        <f>Q91+Q65*Q33</f>
        <v>113655.03452036413</v>
      </c>
      <c r="R118" s="30">
        <f>R91+R65*R33</f>
        <v>119680.90587990411</v>
      </c>
      <c r="S118" s="30">
        <f>S91+S65*S33</f>
        <v>124692.20771132997</v>
      </c>
    </row>
    <row r="119" spans="1:19" x14ac:dyDescent="0.3">
      <c r="A119" s="10" t="s">
        <v>423</v>
      </c>
      <c r="B119" s="34">
        <f>B114-B118</f>
        <v>-551</v>
      </c>
      <c r="C119" s="34">
        <f>C114-C118</f>
        <v>-2980</v>
      </c>
      <c r="D119" s="34">
        <f>D114-D118</f>
        <v>-8060</v>
      </c>
      <c r="E119" s="34">
        <f>E114-E118</f>
        <v>2640.7379031172381</v>
      </c>
      <c r="F119" s="34">
        <f>F114-F118</f>
        <v>30870.870735247961</v>
      </c>
      <c r="G119" s="34">
        <f>G114-G118</f>
        <v>80437.813906742027</v>
      </c>
      <c r="H119" s="34">
        <f>H114-H118</f>
        <v>149476.61013298281</v>
      </c>
      <c r="I119" s="34">
        <f>I114-I118</f>
        <v>238002.77060703054</v>
      </c>
      <c r="J119" s="34">
        <f>J114-J118</f>
        <v>337586.8781841647</v>
      </c>
      <c r="K119" s="34">
        <f>K114-K118</f>
        <v>447052.34171639109</v>
      </c>
      <c r="L119" s="34">
        <f>L114-L118</f>
        <v>553503.37779428647</v>
      </c>
      <c r="M119" s="34">
        <f>M114-M118</f>
        <v>661269.07338976127</v>
      </c>
      <c r="N119" s="34">
        <f>N114-N118</f>
        <v>753561.34762119665</v>
      </c>
      <c r="O119" s="34">
        <f>O114-O118</f>
        <v>842101.62332377571</v>
      </c>
      <c r="P119" s="34">
        <f>P114-P118</f>
        <v>920268.09185606427</v>
      </c>
      <c r="Q119" s="34">
        <f>Q114-Q118</f>
        <v>983109.3355107666</v>
      </c>
      <c r="R119" s="34">
        <f>R114-R118</f>
        <v>1040169.8657907718</v>
      </c>
      <c r="S119" s="34">
        <f>S114-S118</f>
        <v>1090426.7879543237</v>
      </c>
    </row>
    <row r="120" spans="1:19" x14ac:dyDescent="0.3">
      <c r="A120" s="3" t="s">
        <v>424</v>
      </c>
      <c r="B120" s="31">
        <f>B119/B65</f>
        <v>-13.439024390243903</v>
      </c>
      <c r="C120" s="31">
        <f>C119/C65</f>
        <v>-7.7202072538860103</v>
      </c>
      <c r="D120" s="31">
        <f>D119/D65</f>
        <v>-1.7579062159214831</v>
      </c>
      <c r="E120" s="31">
        <f>E119/E65</f>
        <v>4.5877637237736427E-2</v>
      </c>
      <c r="F120" s="31">
        <f>F119/F65</f>
        <v>0.21625837854811888</v>
      </c>
      <c r="G120" s="31">
        <f>G119/G65</f>
        <v>0.30618955200711551</v>
      </c>
      <c r="H120" s="31">
        <f>H119/H65</f>
        <v>0.36934471270868502</v>
      </c>
      <c r="I120" s="31">
        <f>I119/I65</f>
        <v>0.42228520628100108</v>
      </c>
      <c r="J120" s="31">
        <f>J119/J65</f>
        <v>0.46203028539810009</v>
      </c>
      <c r="K120" s="31">
        <f>K119/K65</f>
        <v>0.4948440171423043</v>
      </c>
      <c r="L120" s="31">
        <f>L119/L65</f>
        <v>0.51637495425390656</v>
      </c>
      <c r="M120" s="31">
        <f>M119/M65</f>
        <v>0.53725296399273148</v>
      </c>
      <c r="N120" s="31">
        <f>N119/N65</f>
        <v>0.54747896378963268</v>
      </c>
      <c r="O120" s="31">
        <f>O119/O65</f>
        <v>0.5570497364023469</v>
      </c>
      <c r="P120" s="31">
        <f>P119/P65</f>
        <v>0.56150380787763476</v>
      </c>
      <c r="Q120" s="31">
        <f>Q119/Q65</f>
        <v>0.56104594520654316</v>
      </c>
      <c r="R120" s="31">
        <f>R119/R65</f>
        <v>0.56045266585011666</v>
      </c>
      <c r="S120" s="31">
        <f>S119/S65</f>
        <v>0.55955384497637961</v>
      </c>
    </row>
    <row r="121" spans="1:19" x14ac:dyDescent="0.3">
      <c r="A121" s="3" t="s">
        <v>425</v>
      </c>
      <c r="B121" s="94">
        <f>B119-Historicals!B15</f>
        <v>0</v>
      </c>
      <c r="C121" s="94">
        <f>C119-Historicals!C15</f>
        <v>0</v>
      </c>
      <c r="D121" s="94">
        <f>D119-Historicals!D15</f>
        <v>0</v>
      </c>
      <c r="E121" s="95"/>
      <c r="F121" s="95"/>
      <c r="G121" s="95"/>
      <c r="H121" s="95"/>
      <c r="I121" s="95"/>
      <c r="J121" s="95"/>
      <c r="K121" s="95"/>
      <c r="L121" s="95"/>
      <c r="M121" s="95"/>
      <c r="N121" s="95"/>
      <c r="O121" s="95"/>
      <c r="P121" s="95"/>
      <c r="Q121" s="95"/>
      <c r="R121" s="95"/>
      <c r="S121" s="95"/>
    </row>
    <row r="122" spans="1:19" ht="3" customHeight="1" x14ac:dyDescent="0.3"/>
    <row r="123" spans="1:19" x14ac:dyDescent="0.3">
      <c r="A123" s="5" t="s">
        <v>426</v>
      </c>
      <c r="B123" s="5"/>
      <c r="C123" s="5"/>
      <c r="D123" s="5"/>
      <c r="E123" s="5"/>
      <c r="F123" s="5"/>
      <c r="G123" s="5"/>
      <c r="H123" s="5"/>
      <c r="I123" s="5"/>
      <c r="J123" s="5"/>
      <c r="K123" s="5"/>
      <c r="L123" s="5"/>
      <c r="M123" s="5"/>
      <c r="N123" s="5"/>
      <c r="O123" s="5"/>
      <c r="P123" s="5"/>
      <c r="Q123" s="5"/>
      <c r="R123" s="5"/>
      <c r="S123" s="5"/>
    </row>
    <row r="124" spans="1:19" x14ac:dyDescent="0.3">
      <c r="A124" s="1" t="s">
        <v>427</v>
      </c>
      <c r="B124" s="9"/>
      <c r="C124" s="9"/>
      <c r="D124" s="9"/>
      <c r="E124" s="77">
        <f>Historicals!C160</f>
        <v>8200</v>
      </c>
      <c r="F124" s="30">
        <f>E127</f>
        <v>6087.4096775062098</v>
      </c>
      <c r="G124" s="30">
        <f>F127</f>
        <v>0</v>
      </c>
      <c r="H124" s="30">
        <f>G127</f>
        <v>0</v>
      </c>
      <c r="I124" s="30">
        <f>H127</f>
        <v>0</v>
      </c>
      <c r="J124" s="30">
        <f>I127</f>
        <v>0</v>
      </c>
      <c r="K124" s="30">
        <f>J127</f>
        <v>0</v>
      </c>
      <c r="L124" s="30">
        <f>K127</f>
        <v>0</v>
      </c>
      <c r="M124" s="30">
        <f>L127</f>
        <v>0</v>
      </c>
      <c r="N124" s="30">
        <f>M127</f>
        <v>0</v>
      </c>
      <c r="O124" s="30">
        <f>N127</f>
        <v>0</v>
      </c>
      <c r="P124" s="30">
        <f>O127</f>
        <v>0</v>
      </c>
      <c r="Q124" s="30">
        <f>P127</f>
        <v>0</v>
      </c>
      <c r="R124" s="30">
        <f>Q127</f>
        <v>0</v>
      </c>
      <c r="S124" s="30">
        <f>R127</f>
        <v>0</v>
      </c>
    </row>
    <row r="125" spans="1:19" x14ac:dyDescent="0.3">
      <c r="A125" s="1" t="s">
        <v>428</v>
      </c>
      <c r="B125" s="9"/>
      <c r="C125" s="9"/>
      <c r="D125" s="9"/>
      <c r="E125" s="30">
        <f>MIN(E124,MAX(E119,0)*0.8)</f>
        <v>2112.5903224937906</v>
      </c>
      <c r="F125" s="30">
        <f>MIN(F124,MAX(F119,0)*0.8)</f>
        <v>6087.4096775062098</v>
      </c>
      <c r="G125" s="30">
        <f>MIN(G124,MAX(G119,0)*0.8)</f>
        <v>0</v>
      </c>
      <c r="H125" s="30">
        <f>MIN(H124,MAX(H119,0)*0.8)</f>
        <v>0</v>
      </c>
      <c r="I125" s="30">
        <f>MIN(I124,MAX(I119,0)*0.8)</f>
        <v>0</v>
      </c>
      <c r="J125" s="30">
        <f>MIN(J124,MAX(J119,0)*0.8)</f>
        <v>0</v>
      </c>
      <c r="K125" s="30">
        <f>MIN(K124,MAX(K119,0)*0.8)</f>
        <v>0</v>
      </c>
      <c r="L125" s="30">
        <f>MIN(L124,MAX(L119,0)*0.8)</f>
        <v>0</v>
      </c>
      <c r="M125" s="30">
        <f>MIN(M124,MAX(M119,0)*0.8)</f>
        <v>0</v>
      </c>
      <c r="N125" s="30">
        <f>MIN(N124,MAX(N119,0)*0.8)</f>
        <v>0</v>
      </c>
      <c r="O125" s="30">
        <f>MIN(O124,MAX(O119,0)*0.8)</f>
        <v>0</v>
      </c>
      <c r="P125" s="30">
        <f>MIN(P124,MAX(P119,0)*0.8)</f>
        <v>0</v>
      </c>
      <c r="Q125" s="30">
        <f>MIN(Q124,MAX(Q119,0)*0.8)</f>
        <v>0</v>
      </c>
      <c r="R125" s="30">
        <f>MIN(R124,MAX(R119,0)*0.8)</f>
        <v>0</v>
      </c>
      <c r="S125" s="30">
        <f>MIN(S124,MAX(S119,0)*0.8)</f>
        <v>0</v>
      </c>
    </row>
    <row r="126" spans="1:19" x14ac:dyDescent="0.3">
      <c r="A126" s="1" t="s">
        <v>429</v>
      </c>
      <c r="B126" s="9"/>
      <c r="C126" s="9"/>
      <c r="D126" s="9"/>
      <c r="E126" s="30">
        <f>MAX(-E119,0)</f>
        <v>0</v>
      </c>
      <c r="F126" s="30">
        <f>MAX(-F119,0)</f>
        <v>0</v>
      </c>
      <c r="G126" s="30">
        <f>MAX(-G119,0)</f>
        <v>0</v>
      </c>
      <c r="H126" s="30">
        <f>MAX(-H119,0)</f>
        <v>0</v>
      </c>
      <c r="I126" s="30">
        <f>MAX(-I119,0)</f>
        <v>0</v>
      </c>
      <c r="J126" s="30">
        <f>MAX(-J119,0)</f>
        <v>0</v>
      </c>
      <c r="K126" s="30">
        <f>MAX(-K119,0)</f>
        <v>0</v>
      </c>
      <c r="L126" s="30">
        <f>MAX(-L119,0)</f>
        <v>0</v>
      </c>
      <c r="M126" s="30">
        <f>MAX(-M119,0)</f>
        <v>0</v>
      </c>
      <c r="N126" s="30">
        <f>MAX(-N119,0)</f>
        <v>0</v>
      </c>
      <c r="O126" s="30">
        <f>MAX(-O119,0)</f>
        <v>0</v>
      </c>
      <c r="P126" s="30">
        <f>MAX(-P119,0)</f>
        <v>0</v>
      </c>
      <c r="Q126" s="30">
        <f>MAX(-Q119,0)</f>
        <v>0</v>
      </c>
      <c r="R126" s="30">
        <f>MAX(-R119,0)</f>
        <v>0</v>
      </c>
      <c r="S126" s="30">
        <f>MAX(-S119,0)</f>
        <v>0</v>
      </c>
    </row>
    <row r="127" spans="1:19" x14ac:dyDescent="0.3">
      <c r="A127" s="1" t="s">
        <v>430</v>
      </c>
      <c r="B127" s="9"/>
      <c r="C127" s="9"/>
      <c r="D127" s="9"/>
      <c r="E127" s="30">
        <f>E124-E125+E126</f>
        <v>6087.4096775062098</v>
      </c>
      <c r="F127" s="30">
        <f>F124-F125+F126</f>
        <v>0</v>
      </c>
      <c r="G127" s="30">
        <f>G124-G125+G126</f>
        <v>0</v>
      </c>
      <c r="H127" s="30">
        <f>H124-H125+H126</f>
        <v>0</v>
      </c>
      <c r="I127" s="30">
        <f>I124-I125+I126</f>
        <v>0</v>
      </c>
      <c r="J127" s="30">
        <f>J124-J125+J126</f>
        <v>0</v>
      </c>
      <c r="K127" s="30">
        <f>K124-K125+K126</f>
        <v>0</v>
      </c>
      <c r="L127" s="30">
        <f>L124-L125+L126</f>
        <v>0</v>
      </c>
      <c r="M127" s="30">
        <f>M124-M125+M126</f>
        <v>0</v>
      </c>
      <c r="N127" s="30">
        <f>N124-N125+N126</f>
        <v>0</v>
      </c>
      <c r="O127" s="30">
        <f>O124-O125+O126</f>
        <v>0</v>
      </c>
      <c r="P127" s="30">
        <f>P124-P125+P126</f>
        <v>0</v>
      </c>
      <c r="Q127" s="30">
        <f>Q124-Q125+Q126</f>
        <v>0</v>
      </c>
      <c r="R127" s="30">
        <f>R124-R125+R126</f>
        <v>0</v>
      </c>
      <c r="S127" s="30">
        <f>S124-S125+S126</f>
        <v>0</v>
      </c>
    </row>
    <row r="128" spans="1:19" x14ac:dyDescent="0.3">
      <c r="A128" s="1" t="s">
        <v>431</v>
      </c>
      <c r="B128" s="9"/>
      <c r="C128" s="9"/>
      <c r="D128" s="9"/>
      <c r="E128" s="30">
        <f>MAX(E119,0)-E125</f>
        <v>528.14758062344754</v>
      </c>
      <c r="F128" s="30">
        <f>MAX(F119,0)-F125</f>
        <v>24783.461057741752</v>
      </c>
      <c r="G128" s="30">
        <f>MAX(G119,0)-G125</f>
        <v>80437.813906742027</v>
      </c>
      <c r="H128" s="30">
        <f>MAX(H119,0)-H125</f>
        <v>149476.61013298281</v>
      </c>
      <c r="I128" s="30">
        <f>MAX(I119,0)-I125</f>
        <v>238002.77060703054</v>
      </c>
      <c r="J128" s="30">
        <f>MAX(J119,0)-J125</f>
        <v>337586.8781841647</v>
      </c>
      <c r="K128" s="30">
        <f>MAX(K119,0)-K125</f>
        <v>447052.34171639109</v>
      </c>
      <c r="L128" s="30">
        <f>MAX(L119,0)-L125</f>
        <v>553503.37779428647</v>
      </c>
      <c r="M128" s="30">
        <f>MAX(M119,0)-M125</f>
        <v>661269.07338976127</v>
      </c>
      <c r="N128" s="30">
        <f>MAX(N119,0)-N125</f>
        <v>753561.34762119665</v>
      </c>
      <c r="O128" s="30">
        <f>MAX(O119,0)-O125</f>
        <v>842101.62332377571</v>
      </c>
      <c r="P128" s="30">
        <f>MAX(P119,0)-P125</f>
        <v>920268.09185606427</v>
      </c>
      <c r="Q128" s="30">
        <f>MAX(Q119,0)-Q125</f>
        <v>983109.3355107666</v>
      </c>
      <c r="R128" s="30">
        <f>MAX(R119,0)-R125</f>
        <v>1040169.8657907718</v>
      </c>
      <c r="S128" s="30">
        <f>MAX(S119,0)-S125</f>
        <v>1090426.7879543237</v>
      </c>
    </row>
    <row r="129" spans="1:19" x14ac:dyDescent="0.3">
      <c r="A129" s="1" t="s">
        <v>432</v>
      </c>
      <c r="B129" s="9"/>
      <c r="C129" s="9"/>
      <c r="D129" s="9"/>
      <c r="E129" s="30">
        <f>E128*$E$40</f>
        <v>121.47394354339293</v>
      </c>
      <c r="F129" s="30">
        <f>F128*$E$40</f>
        <v>5700.1960432806027</v>
      </c>
      <c r="G129" s="30">
        <f>G128*$E$40</f>
        <v>18500.697198550668</v>
      </c>
      <c r="H129" s="30">
        <f>H128*$E$40</f>
        <v>34379.620330586047</v>
      </c>
      <c r="I129" s="30">
        <f>I128*$E$40</f>
        <v>54740.637239617026</v>
      </c>
      <c r="J129" s="30">
        <f>J128*$E$40</f>
        <v>77644.981982357887</v>
      </c>
      <c r="K129" s="30">
        <f>K128*$E$40</f>
        <v>102822.03859476995</v>
      </c>
      <c r="L129" s="30">
        <f>L128*$E$40</f>
        <v>127305.7768926859</v>
      </c>
      <c r="M129" s="30">
        <f>M128*$E$40</f>
        <v>152091.88687964508</v>
      </c>
      <c r="N129" s="30">
        <f>N128*$E$40</f>
        <v>173319.10995287524</v>
      </c>
      <c r="O129" s="30">
        <f>O128*$E$40</f>
        <v>193683.37336446843</v>
      </c>
      <c r="P129" s="30">
        <f>P128*$E$40</f>
        <v>211661.66112689479</v>
      </c>
      <c r="Q129" s="30">
        <f>Q128*$E$40</f>
        <v>226115.14716747633</v>
      </c>
      <c r="R129" s="30">
        <f>R128*$E$40</f>
        <v>239239.06913187754</v>
      </c>
      <c r="S129" s="30">
        <f>S128*$E$40</f>
        <v>250798.16122949446</v>
      </c>
    </row>
    <row r="130" spans="1:19" x14ac:dyDescent="0.3">
      <c r="A130" s="3" t="s">
        <v>433</v>
      </c>
      <c r="B130" s="75"/>
      <c r="C130" s="75"/>
      <c r="D130" s="75"/>
      <c r="E130" s="31">
        <f>IF(E119&gt;0,E129/E119,0)</f>
        <v>4.5999999999999992E-2</v>
      </c>
      <c r="F130" s="31">
        <f>IF(F119&gt;0,F129/F119,0)</f>
        <v>0.18464642906143208</v>
      </c>
      <c r="G130" s="31">
        <f>IF(G119&gt;0,G129/G119,0)</f>
        <v>0.23</v>
      </c>
      <c r="H130" s="31">
        <f>IF(H119&gt;0,H129/H119,0)</f>
        <v>0.23</v>
      </c>
      <c r="I130" s="31">
        <f>IF(I119&gt;0,I129/I119,0)</f>
        <v>0.23</v>
      </c>
      <c r="J130" s="31">
        <f>IF(J119&gt;0,J129/J119,0)</f>
        <v>0.23</v>
      </c>
      <c r="K130" s="31">
        <f>IF(K119&gt;0,K129/K119,0)</f>
        <v>0.23</v>
      </c>
      <c r="L130" s="31">
        <f>IF(L119&gt;0,L129/L119,0)</f>
        <v>0.23</v>
      </c>
      <c r="M130" s="31">
        <f>IF(M119&gt;0,M129/M119,0)</f>
        <v>0.22999999999999998</v>
      </c>
      <c r="N130" s="31">
        <f>IF(N119&gt;0,N129/N119,0)</f>
        <v>0.23</v>
      </c>
      <c r="O130" s="31">
        <f>IF(O119&gt;0,O129/O119,0)</f>
        <v>0.23</v>
      </c>
      <c r="P130" s="31">
        <f>IF(P119&gt;0,P129/P119,0)</f>
        <v>0.23</v>
      </c>
      <c r="Q130" s="31">
        <f>IF(Q119&gt;0,Q129/Q119,0)</f>
        <v>0.23</v>
      </c>
      <c r="R130" s="31">
        <f>IF(R119&gt;0,R129/R119,0)</f>
        <v>0.23</v>
      </c>
      <c r="S130" s="31">
        <f>IF(S119&gt;0,S129/S119,0)</f>
        <v>0.23</v>
      </c>
    </row>
    <row r="131" spans="1:19" ht="3" customHeight="1" x14ac:dyDescent="0.3"/>
    <row r="132" spans="1:19" x14ac:dyDescent="0.3">
      <c r="A132" s="5" t="s">
        <v>434</v>
      </c>
      <c r="B132" s="5"/>
      <c r="C132" s="5"/>
      <c r="D132" s="5"/>
      <c r="E132" s="5"/>
      <c r="F132" s="5"/>
      <c r="G132" s="5"/>
      <c r="H132" s="5"/>
      <c r="I132" s="5"/>
      <c r="J132" s="5"/>
      <c r="K132" s="5"/>
      <c r="L132" s="5"/>
      <c r="M132" s="5"/>
      <c r="N132" s="5"/>
      <c r="O132" s="5"/>
      <c r="P132" s="5"/>
      <c r="Q132" s="5"/>
      <c r="R132" s="5"/>
      <c r="S132" s="5"/>
    </row>
    <row r="133" spans="1:19" x14ac:dyDescent="0.3">
      <c r="A133" s="1" t="s">
        <v>435</v>
      </c>
      <c r="B133" s="9"/>
      <c r="C133" s="9"/>
      <c r="D133" s="9"/>
      <c r="E133" s="30">
        <f>E119</f>
        <v>2640.7379031172381</v>
      </c>
      <c r="F133" s="30">
        <f>F119</f>
        <v>30870.870735247961</v>
      </c>
      <c r="G133" s="30">
        <f>G119</f>
        <v>80437.813906742027</v>
      </c>
      <c r="H133" s="30">
        <f>H119</f>
        <v>149476.61013298281</v>
      </c>
      <c r="I133" s="30">
        <f>I119</f>
        <v>238002.77060703054</v>
      </c>
      <c r="J133" s="30">
        <f>J119</f>
        <v>337586.8781841647</v>
      </c>
      <c r="K133" s="30">
        <f>K119</f>
        <v>447052.34171639109</v>
      </c>
      <c r="L133" s="30">
        <f>L119</f>
        <v>553503.37779428647</v>
      </c>
      <c r="M133" s="30">
        <f>M119</f>
        <v>661269.07338976127</v>
      </c>
      <c r="N133" s="30">
        <f>N119</f>
        <v>753561.34762119665</v>
      </c>
      <c r="O133" s="30">
        <f>O119</f>
        <v>842101.62332377571</v>
      </c>
      <c r="P133" s="30">
        <f>P119</f>
        <v>920268.09185606427</v>
      </c>
      <c r="Q133" s="30">
        <f>Q119</f>
        <v>983109.3355107666</v>
      </c>
      <c r="R133" s="30">
        <f>R119</f>
        <v>1040169.8657907718</v>
      </c>
      <c r="S133" s="30">
        <f>S119</f>
        <v>1090426.7879543237</v>
      </c>
    </row>
    <row r="134" spans="1:19" x14ac:dyDescent="0.3">
      <c r="A134" s="1" t="s">
        <v>436</v>
      </c>
      <c r="B134" s="9"/>
      <c r="C134" s="9"/>
      <c r="D134" s="9"/>
      <c r="E134" s="30">
        <f>-E129</f>
        <v>-121.47394354339293</v>
      </c>
      <c r="F134" s="30">
        <f>-F129</f>
        <v>-5700.1960432806027</v>
      </c>
      <c r="G134" s="30">
        <f>-G129</f>
        <v>-18500.697198550668</v>
      </c>
      <c r="H134" s="30">
        <f>-H129</f>
        <v>-34379.620330586047</v>
      </c>
      <c r="I134" s="30">
        <f>-I129</f>
        <v>-54740.637239617026</v>
      </c>
      <c r="J134" s="30">
        <f>-J129</f>
        <v>-77644.981982357887</v>
      </c>
      <c r="K134" s="30">
        <f>-K129</f>
        <v>-102822.03859476995</v>
      </c>
      <c r="L134" s="30">
        <f>-L129</f>
        <v>-127305.7768926859</v>
      </c>
      <c r="M134" s="30">
        <f>-M129</f>
        <v>-152091.88687964508</v>
      </c>
      <c r="N134" s="30">
        <f>-N129</f>
        <v>-173319.10995287524</v>
      </c>
      <c r="O134" s="30">
        <f>-O129</f>
        <v>-193683.37336446843</v>
      </c>
      <c r="P134" s="30">
        <f>-P129</f>
        <v>-211661.66112689479</v>
      </c>
      <c r="Q134" s="30">
        <f>-Q129</f>
        <v>-226115.14716747633</v>
      </c>
      <c r="R134" s="30">
        <f>-R129</f>
        <v>-239239.06913187754</v>
      </c>
      <c r="S134" s="30">
        <f>-S129</f>
        <v>-250798.16122949446</v>
      </c>
    </row>
    <row r="135" spans="1:19" x14ac:dyDescent="0.3">
      <c r="A135" s="10" t="s">
        <v>437</v>
      </c>
      <c r="B135" s="12"/>
      <c r="C135" s="12"/>
      <c r="D135" s="12"/>
      <c r="E135" s="34">
        <f>E133+E134</f>
        <v>2519.2639595738451</v>
      </c>
      <c r="F135" s="34">
        <f>F133+F134</f>
        <v>25170.674691967361</v>
      </c>
      <c r="G135" s="34">
        <f>G133+G134</f>
        <v>61937.116708191359</v>
      </c>
      <c r="H135" s="34">
        <f>H133+H134</f>
        <v>115096.98980239677</v>
      </c>
      <c r="I135" s="34">
        <f>I133+I134</f>
        <v>183262.13336741351</v>
      </c>
      <c r="J135" s="34">
        <f>J133+J134</f>
        <v>259941.89620180681</v>
      </c>
      <c r="K135" s="34">
        <f>K133+K134</f>
        <v>344230.30312162114</v>
      </c>
      <c r="L135" s="34">
        <f>L133+L134</f>
        <v>426197.60090160056</v>
      </c>
      <c r="M135" s="34">
        <f>M133+M134</f>
        <v>509177.18651011621</v>
      </c>
      <c r="N135" s="34">
        <f>N133+N134</f>
        <v>580242.23766832147</v>
      </c>
      <c r="O135" s="34">
        <f>O133+O134</f>
        <v>648418.24995930726</v>
      </c>
      <c r="P135" s="34">
        <f>P133+P134</f>
        <v>708606.43072916951</v>
      </c>
      <c r="Q135" s="34">
        <f>Q133+Q134</f>
        <v>756994.18834329024</v>
      </c>
      <c r="R135" s="34">
        <f>R133+R134</f>
        <v>800930.79665889428</v>
      </c>
      <c r="S135" s="34">
        <f>S133+S134</f>
        <v>839628.6267248292</v>
      </c>
    </row>
    <row r="136" spans="1:19" x14ac:dyDescent="0.3">
      <c r="A136" s="1" t="s">
        <v>438</v>
      </c>
      <c r="B136" s="9"/>
      <c r="C136" s="9"/>
      <c r="D136" s="9"/>
      <c r="E136" s="30">
        <f>E118</f>
        <v>1060.5037600000001</v>
      </c>
      <c r="F136" s="30">
        <f>F118</f>
        <v>5175.4442254040823</v>
      </c>
      <c r="G136" s="30">
        <f>G118</f>
        <v>13672.640277528491</v>
      </c>
      <c r="H136" s="30">
        <f>H118</f>
        <v>25723.679653711115</v>
      </c>
      <c r="I136" s="30">
        <f>I118</f>
        <v>39524.683943030497</v>
      </c>
      <c r="J136" s="30">
        <f>J118</f>
        <v>53450.511482676258</v>
      </c>
      <c r="K136" s="30">
        <f>K118</f>
        <v>66199.976973270983</v>
      </c>
      <c r="L136" s="30">
        <f>L118</f>
        <v>77319.946577517519</v>
      </c>
      <c r="M136" s="30">
        <f>M118</f>
        <v>87311.877531312522</v>
      </c>
      <c r="N136" s="30">
        <f>N118</f>
        <v>95632.578352593409</v>
      </c>
      <c r="O136" s="30">
        <f>O118</f>
        <v>101845.65865970877</v>
      </c>
      <c r="P136" s="30">
        <f>P118</f>
        <v>107447.1680798099</v>
      </c>
      <c r="Q136" s="30">
        <f>Q118</f>
        <v>113655.03452036413</v>
      </c>
      <c r="R136" s="30">
        <f>R118</f>
        <v>119680.90587990411</v>
      </c>
      <c r="S136" s="30">
        <f>S118</f>
        <v>124692.20771132997</v>
      </c>
    </row>
    <row r="137" spans="1:19" x14ac:dyDescent="0.3">
      <c r="A137" s="1" t="s">
        <v>439</v>
      </c>
      <c r="B137" s="9"/>
      <c r="C137" s="9"/>
      <c r="D137" s="9"/>
      <c r="E137" s="30">
        <f>-E92</f>
        <v>-7727.0146000000004</v>
      </c>
      <c r="F137" s="30">
        <f>-F92</f>
        <v>-31264.663985240823</v>
      </c>
      <c r="G137" s="30">
        <f>-G92</f>
        <v>-59311.214453070388</v>
      </c>
      <c r="H137" s="30">
        <f>-H92</f>
        <v>-85144.85333297326</v>
      </c>
      <c r="I137" s="30">
        <f>-I92</f>
        <v>-103309.76719703746</v>
      </c>
      <c r="J137" s="30">
        <f>-J92</f>
        <v>-116888.19535166377</v>
      </c>
      <c r="K137" s="30">
        <f>-K92</f>
        <v>-122173.53071129951</v>
      </c>
      <c r="L137" s="30">
        <f>-L92</f>
        <v>-128593.07004730473</v>
      </c>
      <c r="M137" s="30">
        <f>-M92</f>
        <v>-135471.21575975962</v>
      </c>
      <c r="N137" s="30">
        <f>-N92</f>
        <v>-134160.52760006342</v>
      </c>
      <c r="O137" s="30">
        <f>-O92</f>
        <v>-132474.31589499608</v>
      </c>
      <c r="P137" s="30">
        <f>-P92</f>
        <v>-141223.81287854709</v>
      </c>
      <c r="Q137" s="30">
        <f>-Q92</f>
        <v>-151102.93634412473</v>
      </c>
      <c r="R137" s="30">
        <f>-R92</f>
        <v>-153368.35645485748</v>
      </c>
      <c r="S137" s="30">
        <f>-S92</f>
        <v>-154373.60793418199</v>
      </c>
    </row>
    <row r="138" spans="1:19" x14ac:dyDescent="0.3">
      <c r="A138" s="1" t="s">
        <v>440</v>
      </c>
      <c r="B138" s="9"/>
      <c r="C138" s="9"/>
      <c r="D138" s="9"/>
      <c r="E138" s="30">
        <f>-E65*E32</f>
        <v>-460.48367999999999</v>
      </c>
      <c r="F138" s="30">
        <f>-F65*F32</f>
        <v>-1141.9995264000001</v>
      </c>
      <c r="G138" s="30">
        <f>-G65*G32</f>
        <v>-2101.6475155200005</v>
      </c>
      <c r="H138" s="30">
        <f>-H65*H32</f>
        <v>-3237.660754080001</v>
      </c>
      <c r="I138" s="30">
        <f>-I65*I32</f>
        <v>-4508.8535817408001</v>
      </c>
      <c r="J138" s="30">
        <f>-J65*J32</f>
        <v>-5845.2770539626254</v>
      </c>
      <c r="K138" s="30">
        <f>-K65*K32</f>
        <v>-7227.3658159691231</v>
      </c>
      <c r="L138" s="30">
        <f>-L65*L32</f>
        <v>-8575.2164892509245</v>
      </c>
      <c r="M138" s="30">
        <f>-M65*M32</f>
        <v>-9846.6698960634512</v>
      </c>
      <c r="N138" s="30">
        <f>-N65*N32</f>
        <v>-11011.365147695436</v>
      </c>
      <c r="O138" s="30">
        <f>-O65*O32</f>
        <v>-12093.736961620834</v>
      </c>
      <c r="P138" s="30">
        <f>-P65*P32</f>
        <v>-13111.477841398544</v>
      </c>
      <c r="Q138" s="30">
        <f>-Q65*Q32</f>
        <v>-14018.23638737958</v>
      </c>
      <c r="R138" s="30">
        <f>-R65*R32</f>
        <v>-14847.567749015894</v>
      </c>
      <c r="S138" s="30">
        <f>-S65*S32</f>
        <v>-15589.946136466688</v>
      </c>
    </row>
    <row r="139" spans="1:19" x14ac:dyDescent="0.3">
      <c r="A139" s="1" t="s">
        <v>441</v>
      </c>
      <c r="B139" s="9"/>
      <c r="C139" s="9"/>
      <c r="D139" s="9"/>
      <c r="E139" s="30">
        <f>-(E65-D65)*E34</f>
        <v>-1059.5092</v>
      </c>
      <c r="F139" s="30">
        <f>-(F65-E65)*F34</f>
        <v>-1703.7896160000005</v>
      </c>
      <c r="G139" s="30">
        <f>-(G65-F65)*G34</f>
        <v>-2399.1199728000006</v>
      </c>
      <c r="H139" s="30">
        <f>-(H65-G65)*H34</f>
        <v>-2840.0330964000013</v>
      </c>
      <c r="I139" s="30">
        <f>-(I65-H65)*I34</f>
        <v>-3177.982069151999</v>
      </c>
      <c r="J139" s="30">
        <f>-(J65-I65)*J34</f>
        <v>-3341.0586805545631</v>
      </c>
      <c r="K139" s="30">
        <f>-(K65-J65)*K34</f>
        <v>-3455.2219050162425</v>
      </c>
      <c r="L139" s="30">
        <f>-(L65-K65)*L34</f>
        <v>-3369.6266832045048</v>
      </c>
      <c r="M139" s="30">
        <f>-(M65-L65)*M34</f>
        <v>-3178.6335170313159</v>
      </c>
      <c r="N139" s="30">
        <f>-(N65-M65)*N34</f>
        <v>-2911.7381290799658</v>
      </c>
      <c r="O139" s="30">
        <f>-(O65-N65)*O34</f>
        <v>-2705.9295348134915</v>
      </c>
      <c r="P139" s="30">
        <f>-(P65-O65)*P34</f>
        <v>-2544.3521994442772</v>
      </c>
      <c r="Q139" s="30">
        <f>-(Q65-P65)*Q34</f>
        <v>-2266.8963649525867</v>
      </c>
      <c r="R139" s="30">
        <f>-(R65-Q65)*R34</f>
        <v>-2073.3284040907865</v>
      </c>
      <c r="S139" s="30">
        <f>-(S65-R65)*S34</f>
        <v>-1855.9459686269845</v>
      </c>
    </row>
    <row r="140" spans="1:19" x14ac:dyDescent="0.3">
      <c r="A140" s="27" t="s">
        <v>442</v>
      </c>
      <c r="B140" s="96"/>
      <c r="C140" s="96"/>
      <c r="D140" s="96"/>
      <c r="E140" s="97">
        <f>E135+E136+E137+E138+E139</f>
        <v>-5667.239760426155</v>
      </c>
      <c r="F140" s="97">
        <f>F135+F136+F137+F138+F139</f>
        <v>-3764.3342102693782</v>
      </c>
      <c r="G140" s="97">
        <f>G135+G136+G137+G138+G139</f>
        <v>11797.775044329464</v>
      </c>
      <c r="H140" s="97">
        <f>H135+H136+H137+H138+H139</f>
        <v>49598.122272654626</v>
      </c>
      <c r="I140" s="97">
        <f>I135+I136+I137+I138+I139</f>
        <v>111790.21446251376</v>
      </c>
      <c r="J140" s="97">
        <f>J135+J136+J137+J138+J139</f>
        <v>187317.87659830213</v>
      </c>
      <c r="K140" s="97">
        <f>K135+K136+K137+K138+K139</f>
        <v>277574.16166260728</v>
      </c>
      <c r="L140" s="97">
        <f>L135+L136+L137+L138+L139</f>
        <v>362979.63425935793</v>
      </c>
      <c r="M140" s="97">
        <f>M135+M136+M137+M138+M139</f>
        <v>447992.5448685743</v>
      </c>
      <c r="N140" s="97">
        <f>N135+N136+N137+N138+N139</f>
        <v>527791.18514407601</v>
      </c>
      <c r="O140" s="97">
        <f>O135+O136+O137+O138+O139</f>
        <v>602989.92622758565</v>
      </c>
      <c r="P140" s="97">
        <f>P135+P136+P137+P138+P139</f>
        <v>659173.95588958939</v>
      </c>
      <c r="Q140" s="97">
        <f>Q135+Q136+Q137+Q138+Q139</f>
        <v>703261.15376719751</v>
      </c>
      <c r="R140" s="97">
        <f>R135+R136+R137+R138+R139</f>
        <v>750322.44993083412</v>
      </c>
      <c r="S140" s="97">
        <f>S135+S136+S137+S138+S139</f>
        <v>792501.33439688338</v>
      </c>
    </row>
    <row r="141" spans="1:19" x14ac:dyDescent="0.3">
      <c r="A141" s="3" t="s">
        <v>443</v>
      </c>
      <c r="B141" s="75"/>
      <c r="C141" s="75"/>
      <c r="D141" s="75"/>
      <c r="E141" s="31">
        <f>E140/E65</f>
        <v>-9.8457165916084666E-2</v>
      </c>
      <c r="F141" s="31">
        <f>F140/F65</f>
        <v>-2.6370127995663434E-2</v>
      </c>
      <c r="G141" s="31">
        <f>G140/G65</f>
        <v>4.4908672675914064E-2</v>
      </c>
      <c r="H141" s="31">
        <f>H140/H65</f>
        <v>0.12255298140214992</v>
      </c>
      <c r="I141" s="31">
        <f>I140/I65</f>
        <v>0.19834791693431436</v>
      </c>
      <c r="J141" s="31">
        <f>J140/J65</f>
        <v>0.25636817535800566</v>
      </c>
      <c r="K141" s="31">
        <f>K140/K65</f>
        <v>0.30724794480367634</v>
      </c>
      <c r="L141" s="31">
        <f>L140/L65</f>
        <v>0.33863134274392226</v>
      </c>
      <c r="M141" s="31">
        <f>M140/M65</f>
        <v>0.36397486630291115</v>
      </c>
      <c r="N141" s="31">
        <f>N140/N65</f>
        <v>0.38345195391475118</v>
      </c>
      <c r="O141" s="31">
        <f>O140/O65</f>
        <v>0.39887748717615329</v>
      </c>
      <c r="P141" s="31">
        <f>P140/P65</f>
        <v>0.40219658766964939</v>
      </c>
      <c r="Q141" s="31">
        <f>Q140/Q65</f>
        <v>0.40134073036481743</v>
      </c>
      <c r="R141" s="31">
        <f>R140/R65</f>
        <v>0.40428033068544361</v>
      </c>
      <c r="S141" s="31">
        <f>S140/S65</f>
        <v>0.4066730327146576</v>
      </c>
    </row>
    <row r="142" spans="1:19" x14ac:dyDescent="0.3">
      <c r="A142" s="3" t="s">
        <v>444</v>
      </c>
      <c r="B142" s="41">
        <f>-Historicals!B130/Historicals!B7</f>
        <v>4.878048780487805E-2</v>
      </c>
      <c r="C142" s="41">
        <f>-Historicals!C130/Historicals!C7</f>
        <v>3.8860103626943004E-2</v>
      </c>
      <c r="D142" s="41">
        <f>-Historicals!D130/Historicals!D7</f>
        <v>2.8571428571428571E-2</v>
      </c>
      <c r="E142" s="31">
        <f>-(E137+E138)/E65</f>
        <v>0.14224171036854119</v>
      </c>
      <c r="F142" s="31">
        <f>-(F137+F138)/F65</f>
        <v>0.2270170014083874</v>
      </c>
      <c r="G142" s="31">
        <f>-(G137+G138)/G65</f>
        <v>0.23377035973949345</v>
      </c>
      <c r="H142" s="31">
        <f>-(H137+H138)/H65</f>
        <v>0.21838610231334787</v>
      </c>
      <c r="I142" s="31">
        <f>-(I137+I138)/I65</f>
        <v>0.19130117015181694</v>
      </c>
      <c r="J142" s="31">
        <f>-(J137+J138)/J65</f>
        <v>0.16797626018075296</v>
      </c>
      <c r="K142" s="31">
        <f>-(K137+K138)/K65</f>
        <v>0.14323436762130151</v>
      </c>
      <c r="L142" s="31">
        <f>-(L137+L138)/L65</f>
        <v>0.12796718236419735</v>
      </c>
      <c r="M142" s="31">
        <f>-(M137+M138)/M65</f>
        <v>0.11806459417425497</v>
      </c>
      <c r="N142" s="31">
        <f>-(N137+N138)/N65</f>
        <v>0.10547058665338462</v>
      </c>
      <c r="O142" s="31">
        <f>-(O137+O138)/O65</f>
        <v>9.5631683285588201E-2</v>
      </c>
      <c r="P142" s="31">
        <f>-(P137+P138)/P65</f>
        <v>9.4168051892758009E-2</v>
      </c>
      <c r="Q142" s="31">
        <f>-(Q137+Q138)/Q65</f>
        <v>9.4232209056003977E-2</v>
      </c>
      <c r="R142" s="31">
        <f>-(R137+R138)/R65</f>
        <v>9.063621842844817E-2</v>
      </c>
      <c r="S142" s="31">
        <f>-(S137+S138)/S65</f>
        <v>8.721700643882753E-2</v>
      </c>
    </row>
    <row r="143" spans="1:19" x14ac:dyDescent="0.3">
      <c r="A143" s="3" t="s">
        <v>445</v>
      </c>
      <c r="B143" s="77">
        <f>Historicals!B148</f>
        <v>-1629</v>
      </c>
      <c r="C143" s="77">
        <f>Historicals!C148</f>
        <v>-5707</v>
      </c>
      <c r="D143" s="77">
        <f>Historicals!D148</f>
        <v>-2768</v>
      </c>
      <c r="E143" s="9"/>
      <c r="F143" s="9"/>
      <c r="G143" s="9"/>
      <c r="H143" s="9"/>
      <c r="I143" s="9"/>
      <c r="J143" s="9"/>
      <c r="K143" s="9"/>
      <c r="L143" s="9"/>
      <c r="M143" s="9"/>
      <c r="N143" s="9"/>
      <c r="O143" s="9"/>
      <c r="P143" s="9"/>
      <c r="Q143" s="9"/>
      <c r="R143" s="9"/>
      <c r="S143" s="9"/>
    </row>
    <row r="144" spans="1:19" ht="3" customHeight="1" x14ac:dyDescent="0.3"/>
    <row r="145" spans="1:19" x14ac:dyDescent="0.3">
      <c r="A145" s="5" t="s">
        <v>446</v>
      </c>
      <c r="B145" s="5"/>
      <c r="C145" s="5"/>
      <c r="D145" s="5"/>
      <c r="E145" s="5"/>
      <c r="F145" s="5"/>
      <c r="G145" s="5"/>
      <c r="H145" s="5"/>
      <c r="I145" s="5"/>
      <c r="J145" s="5"/>
      <c r="K145" s="5"/>
      <c r="L145" s="5"/>
      <c r="M145" s="5"/>
      <c r="N145" s="5"/>
      <c r="O145" s="5"/>
      <c r="P145" s="5"/>
      <c r="Q145" s="5"/>
      <c r="R145" s="5"/>
      <c r="S145" s="5"/>
    </row>
    <row r="146" spans="1:19" x14ac:dyDescent="0.3">
      <c r="A146" s="1" t="s">
        <v>447</v>
      </c>
      <c r="B146" s="51"/>
      <c r="C146" s="51"/>
      <c r="D146" s="51"/>
      <c r="E146" s="52">
        <f>MAX(0,(Actuals!$B$10-Actuals!$B$8)/365)</f>
        <v>0.50410958904109593</v>
      </c>
      <c r="F146" s="54">
        <f>1</f>
        <v>1</v>
      </c>
      <c r="G146" s="54">
        <f>1</f>
        <v>1</v>
      </c>
      <c r="H146" s="54">
        <f>1</f>
        <v>1</v>
      </c>
      <c r="I146" s="54">
        <f>1</f>
        <v>1</v>
      </c>
      <c r="J146" s="54">
        <f>1</f>
        <v>1</v>
      </c>
      <c r="K146" s="54">
        <f>1</f>
        <v>1</v>
      </c>
      <c r="L146" s="54">
        <f>1</f>
        <v>1</v>
      </c>
      <c r="M146" s="54">
        <f>1</f>
        <v>1</v>
      </c>
      <c r="N146" s="54">
        <f>1</f>
        <v>1</v>
      </c>
      <c r="O146" s="54">
        <f>1</f>
        <v>1</v>
      </c>
      <c r="P146" s="54">
        <f>1</f>
        <v>1</v>
      </c>
      <c r="Q146" s="54">
        <f>1</f>
        <v>1</v>
      </c>
      <c r="R146" s="54">
        <f>1</f>
        <v>1</v>
      </c>
      <c r="S146" s="54">
        <f>1</f>
        <v>1</v>
      </c>
    </row>
    <row r="147" spans="1:19" x14ac:dyDescent="0.3">
      <c r="A147" s="1" t="s">
        <v>448</v>
      </c>
      <c r="B147" s="51"/>
      <c r="C147" s="51"/>
      <c r="D147" s="51"/>
      <c r="E147" s="54">
        <f>E146/2</f>
        <v>0.25205479452054796</v>
      </c>
      <c r="F147" s="54">
        <f>E147+(E146+F146)/2</f>
        <v>1.004109589041096</v>
      </c>
      <c r="G147" s="54">
        <f>F147+(F146+G146)/2</f>
        <v>2.004109589041096</v>
      </c>
      <c r="H147" s="54">
        <f>G147+(G146+H146)/2</f>
        <v>3.004109589041096</v>
      </c>
      <c r="I147" s="54">
        <f>H147+(H146+I146)/2</f>
        <v>4.0041095890410965</v>
      </c>
      <c r="J147" s="54">
        <f>I147+(I146+J146)/2</f>
        <v>5.0041095890410965</v>
      </c>
      <c r="K147" s="54">
        <f>J147+(J146+K146)/2</f>
        <v>6.0041095890410965</v>
      </c>
      <c r="L147" s="54">
        <f>K147+(K146+L146)/2</f>
        <v>7.0041095890410965</v>
      </c>
      <c r="M147" s="54">
        <f>L147+(L146+M146)/2</f>
        <v>8.0041095890410965</v>
      </c>
      <c r="N147" s="54">
        <f>M147+(M146+N146)/2</f>
        <v>9.0041095890410965</v>
      </c>
      <c r="O147" s="54">
        <f>N147+(N146+O146)/2</f>
        <v>10.004109589041096</v>
      </c>
      <c r="P147" s="54">
        <f>O147+(O146+P146)/2</f>
        <v>11.004109589041096</v>
      </c>
      <c r="Q147" s="54">
        <f>P147+(P146+Q146)/2</f>
        <v>12.004109589041096</v>
      </c>
      <c r="R147" s="54">
        <f>Q147+(Q146+R146)/2</f>
        <v>13.004109589041096</v>
      </c>
      <c r="S147" s="54">
        <f>R147+(R146+S146)/2</f>
        <v>14.004109589041096</v>
      </c>
    </row>
    <row r="148" spans="1:19" x14ac:dyDescent="0.3">
      <c r="A148" s="1" t="s">
        <v>716</v>
      </c>
      <c r="B148" s="9"/>
      <c r="C148" s="9"/>
      <c r="D148" s="9"/>
      <c r="E148" s="30">
        <f>E140-E52</f>
        <v>-8258.7697604261557</v>
      </c>
      <c r="F148" s="30">
        <f>F140*F146</f>
        <v>-3764.3342102693782</v>
      </c>
      <c r="G148" s="30">
        <f>G140*G146</f>
        <v>11797.775044329464</v>
      </c>
      <c r="H148" s="30">
        <f>H140*H146</f>
        <v>49598.122272654626</v>
      </c>
      <c r="I148" s="30">
        <f>I140*I146</f>
        <v>111790.21446251376</v>
      </c>
      <c r="J148" s="30">
        <f>J140*J146</f>
        <v>187317.87659830213</v>
      </c>
      <c r="K148" s="30">
        <f>K140*K146</f>
        <v>277574.16166260728</v>
      </c>
      <c r="L148" s="30">
        <f>L140*L146</f>
        <v>362979.63425935793</v>
      </c>
      <c r="M148" s="30">
        <f>M140*M146</f>
        <v>447992.5448685743</v>
      </c>
      <c r="N148" s="30">
        <f>N140*N146</f>
        <v>527791.18514407601</v>
      </c>
      <c r="O148" s="30">
        <f>O140*O146</f>
        <v>602989.92622758565</v>
      </c>
      <c r="P148" s="30">
        <f>P140*P146</f>
        <v>659173.95588958939</v>
      </c>
      <c r="Q148" s="30">
        <f>Q140*Q146</f>
        <v>703261.15376719751</v>
      </c>
      <c r="R148" s="30">
        <f>R140*R146</f>
        <v>750322.44993083412</v>
      </c>
      <c r="S148" s="30">
        <f>S140*S146</f>
        <v>792501.33439688338</v>
      </c>
    </row>
    <row r="149" spans="1:19" x14ac:dyDescent="0.3">
      <c r="A149" s="1" t="s">
        <v>449</v>
      </c>
      <c r="B149" s="98"/>
      <c r="C149" s="98"/>
      <c r="D149" s="98"/>
      <c r="E149" s="99">
        <f>1/(1+$E$38)^E147</f>
        <v>0.96887087613611356</v>
      </c>
      <c r="F149" s="99">
        <f>1/(1+$E$38)^F147</f>
        <v>0.8816323775498055</v>
      </c>
      <c r="G149" s="99">
        <f>1/(1+$E$38)^G147</f>
        <v>0.77767652168748702</v>
      </c>
      <c r="H149" s="99">
        <f>1/(1+$E$38)^H147</f>
        <v>0.68597840526765674</v>
      </c>
      <c r="I149" s="99">
        <f>1/(1+$E$38)^I147</f>
        <v>0.6050926823307865</v>
      </c>
      <c r="J149" s="99">
        <f>1/(1+$E$38)^J147</f>
        <v>0.53374443189272969</v>
      </c>
      <c r="K149" s="99">
        <f>1/(1+$E$38)^K147</f>
        <v>0.47080906263671429</v>
      </c>
      <c r="L149" s="99">
        <f>1/(1+$E$38)^L147</f>
        <v>0.41529458710196038</v>
      </c>
      <c r="M149" s="99">
        <f>1/(1+$E$38)^M147</f>
        <v>0.36632598597463434</v>
      </c>
      <c r="N149" s="99">
        <f>1/(1+$E$38)^N147</f>
        <v>0.32313141603105316</v>
      </c>
      <c r="O149" s="99">
        <f>1/(1+$E$38)^O147</f>
        <v>0.28503004434270063</v>
      </c>
      <c r="P149" s="99">
        <f>1/(1+$E$38)^P147</f>
        <v>0.25142131698576303</v>
      </c>
      <c r="Q149" s="99">
        <f>1/(1+$E$38)^Q147</f>
        <v>0.22177549310855429</v>
      </c>
      <c r="R149" s="99">
        <f>1/(1+$E$38)^R147</f>
        <v>0.19562529515477617</v>
      </c>
      <c r="S149" s="99">
        <f>1/(1+$E$38)^S147</f>
        <v>0.17255854363340906</v>
      </c>
    </row>
    <row r="150" spans="1:19" x14ac:dyDescent="0.3">
      <c r="A150" s="10" t="s">
        <v>450</v>
      </c>
      <c r="B150" s="12"/>
      <c r="C150" s="12"/>
      <c r="D150" s="12"/>
      <c r="E150" s="34">
        <f>E148*E149</f>
        <v>-8001.6814935905304</v>
      </c>
      <c r="F150" s="34">
        <f>F148*F149</f>
        <v>-3318.7589196918616</v>
      </c>
      <c r="G150" s="34">
        <f>G148*G149</f>
        <v>9174.8526601255762</v>
      </c>
      <c r="H150" s="34">
        <f>H148*H149</f>
        <v>34023.240820865867</v>
      </c>
      <c r="I150" s="34">
        <f>I148*I149</f>
        <v>67643.440727456327</v>
      </c>
      <c r="J150" s="34">
        <f>J148*J149</f>
        <v>99979.873628313217</v>
      </c>
      <c r="K150" s="34">
        <f>K148*K149</f>
        <v>130684.43086454393</v>
      </c>
      <c r="L150" s="34">
        <f>L148*L149</f>
        <v>150743.47733616063</v>
      </c>
      <c r="M150" s="34">
        <f>M148*M149</f>
        <v>164111.3107082661</v>
      </c>
      <c r="N150" s="34">
        <f>N148*N149</f>
        <v>170545.91302431302</v>
      </c>
      <c r="O150" s="34">
        <f>O148*O149</f>
        <v>171870.2454108505</v>
      </c>
      <c r="P150" s="34">
        <f>P148*P149</f>
        <v>165730.38411247582</v>
      </c>
      <c r="Q150" s="34">
        <f>Q148*Q149</f>
        <v>155966.08916081104</v>
      </c>
      <c r="R150" s="34">
        <f>R148*R149</f>
        <v>146782.05072897419</v>
      </c>
      <c r="S150" s="34">
        <f>S148*S149</f>
        <v>136752.8760910595</v>
      </c>
    </row>
    <row r="151" spans="1:19" ht="3" customHeight="1" x14ac:dyDescent="0.3"/>
    <row r="152" spans="1:19" x14ac:dyDescent="0.3">
      <c r="A152" s="5" t="s">
        <v>455</v>
      </c>
      <c r="B152" s="5"/>
      <c r="C152" s="5"/>
      <c r="D152" s="5"/>
      <c r="E152" s="5"/>
      <c r="F152" s="5"/>
      <c r="G152" s="5"/>
      <c r="H152" s="5"/>
      <c r="I152" s="5"/>
      <c r="J152" s="5"/>
      <c r="K152" s="5"/>
      <c r="L152" s="5"/>
      <c r="M152" s="5"/>
      <c r="N152" s="5"/>
      <c r="O152" s="5"/>
      <c r="P152" s="5"/>
      <c r="Q152" s="5"/>
      <c r="R152" s="5"/>
      <c r="S152" s="5"/>
    </row>
    <row r="153" spans="1:19" x14ac:dyDescent="0.3">
      <c r="A153" s="6" t="s">
        <v>456</v>
      </c>
      <c r="B153" s="7" t="s">
        <v>457</v>
      </c>
      <c r="C153" s="7" t="s">
        <v>458</v>
      </c>
      <c r="D153" s="7" t="s">
        <v>459</v>
      </c>
      <c r="E153" s="7"/>
      <c r="F153" s="7"/>
    </row>
    <row r="154" spans="1:19" x14ac:dyDescent="0.3">
      <c r="A154" s="1" t="s">
        <v>460</v>
      </c>
      <c r="B154" s="32">
        <v>0.5</v>
      </c>
    </row>
    <row r="155" spans="1:19" x14ac:dyDescent="0.3">
      <c r="A155" s="1" t="s">
        <v>461</v>
      </c>
      <c r="B155" s="30">
        <f>SUM(E150:S150)</f>
        <v>1592687.7448609336</v>
      </c>
      <c r="C155" s="30">
        <f>B155</f>
        <v>1592687.7448609336</v>
      </c>
      <c r="D155" s="30">
        <f>B155</f>
        <v>1592687.7448609336</v>
      </c>
    </row>
    <row r="156" spans="1:19" x14ac:dyDescent="0.3">
      <c r="A156" s="1" t="s">
        <v>462</v>
      </c>
      <c r="B156" s="30">
        <f>S140</f>
        <v>792501.33439688338</v>
      </c>
      <c r="C156" s="30">
        <f>S114</f>
        <v>1215118.9956656536</v>
      </c>
    </row>
    <row r="157" spans="1:19" x14ac:dyDescent="0.3">
      <c r="A157" s="1" t="s">
        <v>503</v>
      </c>
      <c r="B157" s="30">
        <f>S140*(1+$E$35)/($E$39-$E$35)</f>
        <v>13701763.731798256</v>
      </c>
      <c r="C157" s="30">
        <f>S114*$E$36</f>
        <v>20657022.926316112</v>
      </c>
    </row>
    <row r="158" spans="1:19" x14ac:dyDescent="0.3">
      <c r="A158" s="1" t="s">
        <v>463</v>
      </c>
      <c r="B158" s="54">
        <f>S147+0.5</f>
        <v>14.504109589041096</v>
      </c>
      <c r="C158" s="54">
        <f>B158</f>
        <v>14.504109589041096</v>
      </c>
    </row>
    <row r="159" spans="1:19" x14ac:dyDescent="0.3">
      <c r="A159" s="1" t="s">
        <v>464</v>
      </c>
      <c r="B159" s="30">
        <f>B157/(1+$E$38)^B158</f>
        <v>2220591.481468617</v>
      </c>
      <c r="C159" s="30">
        <f>C157/(1+$E$38)^C158</f>
        <v>3347803.2493163766</v>
      </c>
      <c r="D159" s="30">
        <f>$B$154*B159+(1-$B$154)*C159</f>
        <v>2784197.3653924968</v>
      </c>
    </row>
    <row r="160" spans="1:19" x14ac:dyDescent="0.3">
      <c r="A160" s="27" t="s">
        <v>465</v>
      </c>
      <c r="B160" s="97">
        <f>B155+B159</f>
        <v>3813279.2263295506</v>
      </c>
      <c r="C160" s="97">
        <f>C155+C159</f>
        <v>4940490.9941773098</v>
      </c>
      <c r="D160" s="97">
        <f>$B$154*B160+(1-$B$154)*C160</f>
        <v>4376885.11025343</v>
      </c>
    </row>
    <row r="161" spans="1:19" x14ac:dyDescent="0.3">
      <c r="A161" s="3" t="s">
        <v>466</v>
      </c>
      <c r="B161" s="31">
        <f>B159/B160</f>
        <v>0.58233120358354518</v>
      </c>
      <c r="C161" s="31">
        <f>C159/C160</f>
        <v>0.67762561519937603</v>
      </c>
      <c r="D161" s="31">
        <f>D159/D160</f>
        <v>0.63611387899356731</v>
      </c>
    </row>
    <row r="162" spans="1:19" x14ac:dyDescent="0.3">
      <c r="A162" s="1" t="s">
        <v>467</v>
      </c>
      <c r="B162" s="77">
        <f>WACC!$B$62</f>
        <v>151251</v>
      </c>
      <c r="C162" s="77">
        <f>WACC!$B$62</f>
        <v>151251</v>
      </c>
      <c r="D162" s="77">
        <f>WACC!$B$62</f>
        <v>151251</v>
      </c>
    </row>
    <row r="163" spans="1:19" x14ac:dyDescent="0.3">
      <c r="A163" s="10" t="s">
        <v>721</v>
      </c>
      <c r="B163" s="34">
        <f>(B160+B162)*Actuals!$B$15</f>
        <v>4131589.8707664502</v>
      </c>
      <c r="C163" s="34">
        <f>(C160+C162)*Actuals!$B$15</f>
        <v>5306300.7334353579</v>
      </c>
      <c r="D163" s="34">
        <f>(D160+D162)*Actuals!$B$15</f>
        <v>4718945.3021009034</v>
      </c>
    </row>
    <row r="164" spans="1:19" x14ac:dyDescent="0.3">
      <c r="A164" s="1" t="s">
        <v>468</v>
      </c>
      <c r="B164" s="65">
        <f>WACC!$B$52</f>
        <v>15663.257426548837</v>
      </c>
      <c r="C164" s="65">
        <f>WACC!$B$52</f>
        <v>15663.257426548837</v>
      </c>
      <c r="D164" s="65">
        <f>WACC!$B$52</f>
        <v>15663.257426548837</v>
      </c>
    </row>
    <row r="165" spans="1:19" x14ac:dyDescent="0.3">
      <c r="A165" s="27" t="s">
        <v>469</v>
      </c>
      <c r="B165" s="102">
        <f>B163/B164</f>
        <v>263.77590294618454</v>
      </c>
      <c r="C165" s="102">
        <f>C163/C164</f>
        <v>338.77376773756578</v>
      </c>
      <c r="D165" s="102">
        <f>D163/D164</f>
        <v>301.27483534187513</v>
      </c>
    </row>
    <row r="166" spans="1:19" x14ac:dyDescent="0.3">
      <c r="A166" s="1" t="s">
        <v>470</v>
      </c>
      <c r="B166" s="103">
        <f>Dashboard!$B$5</f>
        <v>58.9</v>
      </c>
      <c r="C166" s="103">
        <f>Dashboard!$B$5</f>
        <v>58.9</v>
      </c>
      <c r="D166" s="103">
        <f>Dashboard!$B$5</f>
        <v>58.9</v>
      </c>
    </row>
    <row r="167" spans="1:19" x14ac:dyDescent="0.3">
      <c r="A167" s="10" t="s">
        <v>471</v>
      </c>
      <c r="B167" s="104">
        <f>B165/B166-1</f>
        <v>3.4783684710727432</v>
      </c>
      <c r="C167" s="104">
        <f>C165/C166-1</f>
        <v>4.7516768716055315</v>
      </c>
      <c r="D167" s="104">
        <f>D165/D166-1</f>
        <v>4.1150226713391369</v>
      </c>
    </row>
    <row r="168" spans="1:19" x14ac:dyDescent="0.3">
      <c r="A168" s="3" t="s">
        <v>472</v>
      </c>
      <c r="B168" s="105">
        <f>B157/S114</f>
        <v>11.276067430986297</v>
      </c>
    </row>
    <row r="169" spans="1:19" x14ac:dyDescent="0.3">
      <c r="A169" s="3" t="s">
        <v>473</v>
      </c>
      <c r="C169" s="31">
        <f>(C157*$E$39-S140)/(C157+S140)</f>
        <v>5.950529494778789E-2</v>
      </c>
    </row>
    <row r="170" spans="1:19" x14ac:dyDescent="0.3">
      <c r="A170" s="3" t="s">
        <v>474</v>
      </c>
      <c r="B170" s="85" t="str">
        <f>IF(B161&gt;0.75,"RED &gt;75%",IF(B161&gt;0.6,"YELLOW 60-75%","OK &lt;60%"))</f>
        <v>OK &lt;60%</v>
      </c>
      <c r="C170" s="85" t="str">
        <f>IF(C161&gt;0.75,"RED &gt;75%",IF(C161&gt;0.6,"YELLOW 60-75%","OK &lt;60%"))</f>
        <v>YELLOW 60-75%</v>
      </c>
    </row>
    <row r="171" spans="1:19" ht="3" customHeight="1" x14ac:dyDescent="0.3"/>
    <row r="172" spans="1:19" x14ac:dyDescent="0.3">
      <c r="A172" s="5" t="s">
        <v>475</v>
      </c>
      <c r="B172" s="5"/>
      <c r="C172" s="5"/>
      <c r="D172" s="5"/>
      <c r="E172" s="5"/>
      <c r="F172" s="5"/>
      <c r="G172" s="5"/>
      <c r="H172" s="5"/>
      <c r="I172" s="5"/>
      <c r="J172" s="5"/>
      <c r="K172" s="5"/>
      <c r="L172" s="5"/>
      <c r="M172" s="5"/>
      <c r="N172" s="5"/>
      <c r="O172" s="5"/>
      <c r="P172" s="5"/>
      <c r="Q172" s="5"/>
      <c r="R172" s="5"/>
      <c r="S172" s="5"/>
    </row>
    <row r="173" spans="1:19" x14ac:dyDescent="0.3">
      <c r="A173" s="6" t="s">
        <v>253</v>
      </c>
      <c r="B173" s="7" t="s">
        <v>254</v>
      </c>
      <c r="C173" s="7"/>
      <c r="D173" s="7"/>
      <c r="E173" s="7"/>
      <c r="F173" s="7"/>
    </row>
    <row r="174" spans="1:19" x14ac:dyDescent="0.3">
      <c r="A174" s="1" t="s">
        <v>476</v>
      </c>
      <c r="B174" s="30">
        <f>B166*B164</f>
        <v>922565.86242372647</v>
      </c>
    </row>
    <row r="175" spans="1:19" x14ac:dyDescent="0.3">
      <c r="A175" s="1" t="s">
        <v>722</v>
      </c>
      <c r="B175" s="30">
        <f>B174/Actuals!$B$15-B162</f>
        <v>734011.17794220312</v>
      </c>
    </row>
    <row r="176" spans="1:19" x14ac:dyDescent="0.3">
      <c r="A176" s="1" t="s">
        <v>477</v>
      </c>
      <c r="B176" s="30">
        <f>B175-B155</f>
        <v>-858676.5669187305</v>
      </c>
    </row>
    <row r="177" spans="1:8" x14ac:dyDescent="0.3">
      <c r="A177" s="1" t="s">
        <v>478</v>
      </c>
      <c r="B177" s="30">
        <f>B176*(1+$E$38)^B158</f>
        <v>-5298310.6258567246</v>
      </c>
    </row>
    <row r="178" spans="1:8" x14ac:dyDescent="0.3">
      <c r="A178" s="10" t="s">
        <v>479</v>
      </c>
      <c r="B178" s="58">
        <f>(B177*$E$39-S140)/(B177+S140)</f>
        <v>0.29365262514568047</v>
      </c>
      <c r="C178" s="10"/>
      <c r="D178" s="10"/>
    </row>
    <row r="179" spans="1:8" x14ac:dyDescent="0.3">
      <c r="A179" s="10" t="s">
        <v>480</v>
      </c>
      <c r="B179" s="106">
        <f>B177/S114</f>
        <v>-4.3603224414694139</v>
      </c>
      <c r="C179" s="10"/>
      <c r="D179" s="10"/>
    </row>
    <row r="180" spans="1:8" x14ac:dyDescent="0.3">
      <c r="A180" s="3" t="s">
        <v>481</v>
      </c>
      <c r="B180" s="31">
        <f>B176/B175</f>
        <v>-1.1698412677120615</v>
      </c>
    </row>
    <row r="181" spans="1:8" x14ac:dyDescent="0.3">
      <c r="A181" s="1" t="s">
        <v>482</v>
      </c>
      <c r="B181" s="30">
        <f>J114*$E$36+B162+E148+SUM(F140:J140)</f>
        <v>7147367.5087434016</v>
      </c>
    </row>
    <row r="182" spans="1:8" x14ac:dyDescent="0.3">
      <c r="A182" s="1" t="s">
        <v>483</v>
      </c>
      <c r="B182" s="101">
        <f>B181/B164</f>
        <v>456.31424639863155</v>
      </c>
    </row>
    <row r="183" spans="1:8" x14ac:dyDescent="0.3">
      <c r="A183" s="1" t="s">
        <v>717</v>
      </c>
      <c r="B183" s="52">
        <f>(Actuals!$B$12-Actuals!$B$11)/365</f>
        <v>5.1808219178082195</v>
      </c>
    </row>
    <row r="184" spans="1:8" x14ac:dyDescent="0.3">
      <c r="A184" s="27" t="s">
        <v>484</v>
      </c>
      <c r="B184" s="107">
        <f>(B182/B166)^(1/B183)-1</f>
        <v>0.48464665081129676</v>
      </c>
      <c r="C184" s="27"/>
      <c r="D184" s="27"/>
    </row>
    <row r="185" spans="1:8" x14ac:dyDescent="0.3">
      <c r="A185" s="1" t="s">
        <v>485</v>
      </c>
      <c r="B185" s="105">
        <f>B182/B166</f>
        <v>7.747270736818872</v>
      </c>
    </row>
    <row r="186" spans="1:8" ht="3" customHeight="1" x14ac:dyDescent="0.3"/>
    <row r="187" spans="1:8" x14ac:dyDescent="0.3">
      <c r="A187" s="5" t="s">
        <v>486</v>
      </c>
      <c r="B187" s="5"/>
      <c r="C187" s="5"/>
      <c r="D187" s="5"/>
      <c r="E187" s="5"/>
      <c r="F187" s="5"/>
    </row>
    <row r="188" spans="1:8" x14ac:dyDescent="0.3">
      <c r="A188" s="6" t="s">
        <v>487</v>
      </c>
      <c r="B188" s="141">
        <f>$E$35-2*$H$188</f>
        <v>0.03</v>
      </c>
      <c r="C188" s="141">
        <f>$E$35-$H$188</f>
        <v>3.5000000000000003E-2</v>
      </c>
      <c r="D188" s="141">
        <f>$E$35</f>
        <v>0.04</v>
      </c>
      <c r="E188" s="141">
        <f>$E$35+$H$188</f>
        <v>4.4999999999999998E-2</v>
      </c>
      <c r="F188" s="141">
        <f>$E$35+2*$H$188</f>
        <v>0.05</v>
      </c>
      <c r="G188" s="3" t="s">
        <v>718</v>
      </c>
      <c r="H188" s="42">
        <v>5.0000000000000001E-3</v>
      </c>
    </row>
    <row r="189" spans="1:8" x14ac:dyDescent="0.3">
      <c r="A189" s="109">
        <f>$E$38-2*$H$189</f>
        <v>0.11367493162419763</v>
      </c>
      <c r="B189" s="101" cm="1">
        <f t="array" ref="B189">(SUMPRODUCT($E$148:$S$148,(1+$A189)^(-$E$147:$S$147))+$S$140*(1+B$188)/(($A189+$E$39-$E$38)-B$188)*(1+$A189)^(-$B$158)+$B$162)*Actuals!$B$15/$B$164</f>
        <v>362.47834634536906</v>
      </c>
      <c r="C189" s="101" cm="1">
        <f t="array" ref="C189">(SUMPRODUCT($E$148:$S$148,(1+$A189)^(-$E$147:$S$147))+$S$140*(1+C$188)/(($A189+$E$39-$E$38)-C$188)*(1+$A189)^(-$B$158)+$B$162)*Actuals!$B$15/$B$164</f>
        <v>388.86149331668622</v>
      </c>
      <c r="D189" s="101" cm="1">
        <f t="array" ref="D189">(SUMPRODUCT($E$148:$S$148,(1+$A189)^(-$E$147:$S$147))+$S$140*(1+D$188)/(($A189+$E$39-$E$38)-D$188)*(1+$A189)^(-$B$158)+$B$162)*Actuals!$B$15/$B$164</f>
        <v>421.81530390523733</v>
      </c>
      <c r="E189" s="101" cm="1">
        <f t="array" ref="E189">(SUMPRODUCT($E$148:$S$148,(1+$A189)^(-$E$147:$S$147))+$S$140*(1+E$188)/(($A189+$E$39-$E$38)-E$188)*(1+$A189)^(-$B$158)+$B$162)*Actuals!$B$15/$B$164</f>
        <v>464.14352513644849</v>
      </c>
      <c r="F189" s="101" cm="1">
        <f t="array" ref="F189">(SUMPRODUCT($E$148:$S$148,(1+$A189)^(-$E$147:$S$147))+$S$140*(1+F$188)/(($A189+$E$39-$E$38)-F$188)*(1+$A189)^(-$B$158)+$B$162)*Actuals!$B$15/$B$164</f>
        <v>520.50958797769863</v>
      </c>
      <c r="G189" s="3" t="s">
        <v>719</v>
      </c>
      <c r="H189" s="42">
        <v>0.01</v>
      </c>
    </row>
    <row r="190" spans="1:8" x14ac:dyDescent="0.3">
      <c r="A190" s="109">
        <f>$E$38-$H$189</f>
        <v>0.12367493162419764</v>
      </c>
      <c r="B190" s="101" cm="1">
        <f t="array" ref="B190">(SUMPRODUCT($E$148:$S$148,(1+$A190)^(-$E$147:$S$147))+$S$140*(1+B$188)/(($A190+$E$39-$E$38)-B$188)*(1+$A190)^(-$B$158)+$B$162)*Actuals!$B$15/$B$164</f>
        <v>291.56352443282753</v>
      </c>
      <c r="C190" s="101" cm="1">
        <f t="array" ref="C190">(SUMPRODUCT($E$148:$S$148,(1+$A190)^(-$E$147:$S$147))+$S$140*(1+C$188)/(($A190+$E$39-$E$38)-C$188)*(1+$A190)^(-$B$158)+$B$162)*Actuals!$B$15/$B$164</f>
        <v>307.52882610083066</v>
      </c>
      <c r="D190" s="101" cm="1">
        <f t="array" ref="D190">(SUMPRODUCT($E$148:$S$148,(1+$A190)^(-$E$147:$S$147))+$S$140*(1+D$188)/(($A190+$E$39-$E$38)-D$188)*(1+$A190)^(-$B$158)+$B$162)*Actuals!$B$15/$B$164</f>
        <v>326.67745087880382</v>
      </c>
      <c r="E190" s="101" cm="1">
        <f t="array" ref="E190">(SUMPRODUCT($E$148:$S$148,(1+$A190)^(-$E$147:$S$147))+$S$140*(1+E$188)/(($A190+$E$39-$E$38)-E$188)*(1+$A190)^(-$B$158)+$B$162)*Actuals!$B$15/$B$164</f>
        <v>350.06691230640621</v>
      </c>
      <c r="F190" s="101" cm="1">
        <f t="array" ref="F190">(SUMPRODUCT($E$148:$S$148,(1+$A190)^(-$E$147:$S$147))+$S$140*(1+F$188)/(($A190+$E$39-$E$38)-F$188)*(1+$A190)^(-$B$158)+$B$162)*Actuals!$B$15/$B$164</f>
        <v>379.28146667671666</v>
      </c>
      <c r="G190" s="3"/>
    </row>
    <row r="191" spans="1:8" x14ac:dyDescent="0.3">
      <c r="A191" s="109">
        <f>$E$38</f>
        <v>0.13367493162419763</v>
      </c>
      <c r="B191" s="101" cm="1">
        <f t="array" ref="B191">(SUMPRODUCT($E$148:$S$148,(1+$A191)^(-$E$147:$S$147))+$S$140*(1+B$188)/(($A191+$E$39-$E$38)-B$188)*(1+$A191)^(-$B$158)+$B$162)*Actuals!$B$15/$B$164</f>
        <v>241.49740555998923</v>
      </c>
      <c r="C191" s="101" cm="1">
        <f t="array" ref="C191">(SUMPRODUCT($E$148:$S$148,(1+$A191)^(-$E$147:$S$147))+$S$140*(1+C$188)/(($A191+$E$39-$E$38)-C$188)*(1+$A191)^(-$B$158)+$B$162)*Actuals!$B$15/$B$164</f>
        <v>251.78180038985712</v>
      </c>
      <c r="D191" s="168" cm="1">
        <f t="array" ref="D191">(SUMPRODUCT($E$148:$S$148,(1+$A191)^(-$E$147:$S$147))+$S$140*(1+D$188)/(($A191+$E$39-$E$38)-D$188)*(1+$A191)^(-$B$158)+$B$162)*Actuals!$B$15/$B$164</f>
        <v>263.77590294618449</v>
      </c>
      <c r="E191" s="101" cm="1">
        <f t="array" ref="E191">(SUMPRODUCT($E$148:$S$148,(1+$A191)^(-$E$147:$S$147))+$S$140*(1+E$188)/(($A191+$E$39-$E$38)-E$188)*(1+$A191)^(-$B$158)+$B$162)*Actuals!$B$15/$B$164</f>
        <v>277.94470413153886</v>
      </c>
      <c r="F191" s="101" cm="1">
        <f t="array" ref="F191">(SUMPRODUCT($E$148:$S$148,(1+$A191)^(-$E$147:$S$147))+$S$140*(1+F$188)/(($A191+$E$39-$E$38)-F$188)*(1+$A191)^(-$B$158)+$B$162)*Actuals!$B$15/$B$164</f>
        <v>294.93862401441874</v>
      </c>
      <c r="G191" s="3"/>
    </row>
    <row r="192" spans="1:8" x14ac:dyDescent="0.3">
      <c r="A192" s="109">
        <f>$E$38+$H$189</f>
        <v>0.14367493162419764</v>
      </c>
      <c r="B192" s="101" cm="1">
        <f t="array" ref="B192">(SUMPRODUCT($E$148:$S$148,(1+$A192)^(-$E$147:$S$147))+$S$140*(1+B$188)/(($A192+$E$39-$E$38)-B$188)*(1+$A192)^(-$B$158)+$B$162)*Actuals!$B$15/$B$164</f>
        <v>204.43091314743762</v>
      </c>
      <c r="C192" s="101" cm="1">
        <f t="array" ref="C192">(SUMPRODUCT($E$148:$S$148,(1+$A192)^(-$E$147:$S$147))+$S$140*(1+C$188)/(($A192+$E$39-$E$38)-C$188)*(1+$A192)^(-$B$158)+$B$162)*Actuals!$B$15/$B$164</f>
        <v>211.36362953430304</v>
      </c>
      <c r="D192" s="101" cm="1">
        <f t="array" ref="D192">(SUMPRODUCT($E$148:$S$148,(1+$A192)^(-$E$147:$S$147))+$S$140*(1+D$188)/(($A192+$E$39-$E$38)-D$188)*(1+$A192)^(-$B$158)+$B$162)*Actuals!$B$15/$B$164</f>
        <v>219.28457482085571</v>
      </c>
      <c r="E192" s="101" cm="1">
        <f t="array" ref="E192">(SUMPRODUCT($E$148:$S$148,(1+$A192)^(-$E$147:$S$147))+$S$140*(1+E$188)/(($A192+$E$39-$E$38)-E$188)*(1+$A192)^(-$B$158)+$B$162)*Actuals!$B$15/$B$164</f>
        <v>228.42126649483521</v>
      </c>
      <c r="F192" s="101" cm="1">
        <f t="array" ref="F192">(SUMPRODUCT($E$148:$S$148,(1+$A192)^(-$E$147:$S$147))+$S$140*(1+F$188)/(($A192+$E$39-$E$38)-F$188)*(1+$A192)^(-$B$158)+$B$162)*Actuals!$B$15/$B$164</f>
        <v>239.07686838256069</v>
      </c>
      <c r="G192" s="3"/>
    </row>
    <row r="193" spans="1:8" x14ac:dyDescent="0.3">
      <c r="A193" s="109">
        <f>$E$38+2*$H$189</f>
        <v>0.15367493162419762</v>
      </c>
      <c r="B193" s="101" cm="1">
        <f t="array" ref="B193">(SUMPRODUCT($E$148:$S$148,(1+$A193)^(-$E$147:$S$147))+$S$140*(1+B$188)/(($A193+$E$39-$E$38)-B$188)*(1+$A193)^(-$B$158)+$B$162)*Actuals!$B$15/$B$164</f>
        <v>176.00206024722624</v>
      </c>
      <c r="C193" s="101" cm="1">
        <f t="array" ref="C193">(SUMPRODUCT($E$148:$S$148,(1+$A193)^(-$E$147:$S$147))+$S$140*(1+C$188)/(($A193+$E$39-$E$38)-C$188)*(1+$A193)^(-$B$158)+$B$162)*Actuals!$B$15/$B$164</f>
        <v>180.83983801490135</v>
      </c>
      <c r="D193" s="101" cm="1">
        <f t="array" ref="D193">(SUMPRODUCT($E$148:$S$148,(1+$A193)^(-$E$147:$S$147))+$S$140*(1+D$188)/(($A193+$E$39-$E$38)-D$188)*(1+$A193)^(-$B$158)+$B$162)*Actuals!$B$15/$B$164</f>
        <v>186.28118412288524</v>
      </c>
      <c r="E193" s="101" cm="1">
        <f t="array" ref="E193">(SUMPRODUCT($E$148:$S$148,(1+$A193)^(-$E$147:$S$147))+$S$140*(1+E$188)/(($A193+$E$39-$E$38)-E$188)*(1+$A193)^(-$B$158)+$B$162)*Actuals!$B$15/$B$164</f>
        <v>192.44656657898844</v>
      </c>
      <c r="F193" s="101" cm="1">
        <f t="array" ref="F193">(SUMPRODUCT($E$148:$S$148,(1+$A193)^(-$E$147:$S$147))+$S$140*(1+F$188)/(($A193+$E$39-$E$38)-F$188)*(1+$A193)^(-$B$158)+$B$162)*Actuals!$B$15/$B$164</f>
        <v>199.49079778365581</v>
      </c>
      <c r="G193" s="3"/>
    </row>
    <row r="194" spans="1:8" ht="3" customHeight="1" x14ac:dyDescent="0.3">
      <c r="G194" s="3"/>
    </row>
    <row r="195" spans="1:8" x14ac:dyDescent="0.3">
      <c r="A195" s="5" t="s">
        <v>488</v>
      </c>
      <c r="B195" s="5"/>
      <c r="C195" s="5"/>
      <c r="D195" s="5"/>
      <c r="E195" s="5"/>
      <c r="F195" s="5"/>
      <c r="G195" s="3"/>
    </row>
    <row r="196" spans="1:8" x14ac:dyDescent="0.3">
      <c r="A196" s="6" t="s">
        <v>489</v>
      </c>
      <c r="B196" s="142">
        <f>$E$36-2*$H$196</f>
        <v>13</v>
      </c>
      <c r="C196" s="142">
        <f>$E$36-$H$196</f>
        <v>15</v>
      </c>
      <c r="D196" s="142">
        <f>$E$36</f>
        <v>17</v>
      </c>
      <c r="E196" s="142">
        <f>$E$36+$H$196</f>
        <v>19</v>
      </c>
      <c r="F196" s="142">
        <f>$E$36+2*$H$196</f>
        <v>21</v>
      </c>
      <c r="G196" s="3" t="s">
        <v>720</v>
      </c>
      <c r="H196" s="148">
        <v>2</v>
      </c>
    </row>
    <row r="197" spans="1:8" x14ac:dyDescent="0.3">
      <c r="A197" s="109">
        <f>$E$38-2*$H$189</f>
        <v>0.11367493162419763</v>
      </c>
      <c r="B197" s="101" cm="1">
        <f t="array" ref="B197">(SUMPRODUCT($E$148:$S$148,(1+$A197)^(-$E$147:$S$147))+$S$114*B$196*(1+$A197)^(-$B$158)+$B$162)*Actuals!$B$15/$B$164</f>
        <v>355.78925847876047</v>
      </c>
      <c r="C197" s="101" cm="1">
        <f t="array" ref="C197">(SUMPRODUCT($E$148:$S$148,(1+$A197)^(-$E$147:$S$147))+$S$114*C$196*(1+$A197)^(-$B$158)+$B$162)*Actuals!$B$15/$B$164</f>
        <v>389.71291014756474</v>
      </c>
      <c r="D197" s="101" cm="1">
        <f t="array" ref="D197">(SUMPRODUCT($E$148:$S$148,(1+$A197)^(-$E$147:$S$147))+$S$114*D$196*(1+$A197)^(-$B$158)+$B$162)*Actuals!$B$15/$B$164</f>
        <v>423.63656181636912</v>
      </c>
      <c r="E197" s="101" cm="1">
        <f t="array" ref="E197">(SUMPRODUCT($E$148:$S$148,(1+$A197)^(-$E$147:$S$147))+$S$114*E$196*(1+$A197)^(-$B$158)+$B$162)*Actuals!$B$15/$B$164</f>
        <v>457.56021348517345</v>
      </c>
      <c r="F197" s="101" cm="1">
        <f t="array" ref="F197">(SUMPRODUCT($E$148:$S$148,(1+$A197)^(-$E$147:$S$147))+$S$114*F$196*(1+$A197)^(-$B$158)+$B$162)*Actuals!$B$15/$B$164</f>
        <v>491.48386515397783</v>
      </c>
    </row>
    <row r="198" spans="1:8" x14ac:dyDescent="0.3">
      <c r="A198" s="109">
        <f>$E$38-$H$189</f>
        <v>0.12367493162419764</v>
      </c>
      <c r="B198" s="101" cm="1">
        <f t="array" ref="B198">(SUMPRODUCT($E$148:$S$148,(1+$A198)^(-$E$147:$S$147))+$S$114*B$196*(1+$A198)^(-$B$158)+$B$162)*Actuals!$B$15/$B$164</f>
        <v>318.86423624378045</v>
      </c>
      <c r="C198" s="101" cm="1">
        <f t="array" ref="C198">(SUMPRODUCT($E$148:$S$148,(1+$A198)^(-$E$147:$S$147))+$S$114*C$196*(1+$A198)^(-$B$158)+$B$162)*Actuals!$B$15/$B$164</f>
        <v>348.66271145922303</v>
      </c>
      <c r="D198" s="101" cm="1">
        <f t="array" ref="D198">(SUMPRODUCT($E$148:$S$148,(1+$A198)^(-$E$147:$S$147))+$S$114*D$196*(1+$A198)^(-$B$158)+$B$162)*Actuals!$B$15/$B$164</f>
        <v>378.46118667466567</v>
      </c>
      <c r="E198" s="101" cm="1">
        <f t="array" ref="E198">(SUMPRODUCT($E$148:$S$148,(1+$A198)^(-$E$147:$S$147))+$S$114*E$196*(1+$A198)^(-$B$158)+$B$162)*Actuals!$B$15/$B$164</f>
        <v>408.25966189010819</v>
      </c>
      <c r="F198" s="101" cm="1">
        <f t="array" ref="F198">(SUMPRODUCT($E$148:$S$148,(1+$A198)^(-$E$147:$S$147))+$S$114*F$196*(1+$A198)^(-$B$158)+$B$162)*Actuals!$B$15/$B$164</f>
        <v>438.05813710555083</v>
      </c>
    </row>
    <row r="199" spans="1:8" x14ac:dyDescent="0.3">
      <c r="A199" s="109">
        <f>$E$38</f>
        <v>0.13367493162419763</v>
      </c>
      <c r="B199" s="101" cm="1">
        <f t="array" ref="B199">(SUMPRODUCT($E$148:$S$148,(1+$A199)^(-$E$147:$S$147))+$S$114*B$196*(1+$A199)^(-$B$158)+$B$162)*Actuals!$B$15/$B$164</f>
        <v>286.36374096864159</v>
      </c>
      <c r="C199" s="101" cm="1">
        <f t="array" ref="C199">(SUMPRODUCT($E$148:$S$148,(1+$A199)^(-$E$147:$S$147))+$S$114*C$196*(1+$A199)^(-$B$158)+$B$162)*Actuals!$B$15/$B$164</f>
        <v>312.56875435310366</v>
      </c>
      <c r="D199" s="168" cm="1">
        <f t="array" ref="D199">(SUMPRODUCT($E$148:$S$148,(1+$A199)^(-$E$147:$S$147))+$S$114*D$196*(1+$A199)^(-$B$158)+$B$162)*Actuals!$B$15/$B$164</f>
        <v>338.77376773756578</v>
      </c>
      <c r="E199" s="101" cm="1">
        <f t="array" ref="E199">(SUMPRODUCT($E$148:$S$148,(1+$A199)^(-$E$147:$S$147))+$S$114*E$196*(1+$A199)^(-$B$158)+$B$162)*Actuals!$B$15/$B$164</f>
        <v>364.97878112202784</v>
      </c>
      <c r="F199" s="101" cm="1">
        <f t="array" ref="F199">(SUMPRODUCT($E$148:$S$148,(1+$A199)^(-$E$147:$S$147))+$S$114*F$196*(1+$A199)^(-$B$158)+$B$162)*Actuals!$B$15/$B$164</f>
        <v>391.18379450648996</v>
      </c>
    </row>
    <row r="200" spans="1:8" x14ac:dyDescent="0.3">
      <c r="A200" s="109">
        <f>$E$38+$H$189</f>
        <v>0.14367493162419764</v>
      </c>
      <c r="B200" s="101" cm="1">
        <f t="array" ref="B200">(SUMPRODUCT($E$148:$S$148,(1+$A200)^(-$E$147:$S$147))+$S$114*B$196*(1+$A200)^(-$B$158)+$B$162)*Actuals!$B$15/$B$164</f>
        <v>257.71250392786334</v>
      </c>
      <c r="C200" s="101" cm="1">
        <f t="array" ref="C200">(SUMPRODUCT($E$148:$S$148,(1+$A200)^(-$E$147:$S$147))+$S$114*C$196*(1+$A200)^(-$B$158)+$B$162)*Actuals!$B$15/$B$164</f>
        <v>280.78342132679222</v>
      </c>
      <c r="D200" s="101" cm="1">
        <f t="array" ref="D200">(SUMPRODUCT($E$148:$S$148,(1+$A200)^(-$E$147:$S$147))+$S$114*D$196*(1+$A200)^(-$B$158)+$B$162)*Actuals!$B$15/$B$164</f>
        <v>303.85433872572105</v>
      </c>
      <c r="E200" s="101" cm="1">
        <f t="array" ref="E200">(SUMPRODUCT($E$148:$S$148,(1+$A200)^(-$E$147:$S$147))+$S$114*E$196*(1+$A200)^(-$B$158)+$B$162)*Actuals!$B$15/$B$164</f>
        <v>326.92525612464988</v>
      </c>
      <c r="F200" s="101" cm="1">
        <f t="array" ref="F200">(SUMPRODUCT($E$148:$S$148,(1+$A200)^(-$E$147:$S$147))+$S$114*F$196*(1+$A200)^(-$B$158)+$B$162)*Actuals!$B$15/$B$164</f>
        <v>349.99617352357882</v>
      </c>
    </row>
    <row r="201" spans="1:8" x14ac:dyDescent="0.3">
      <c r="A201" s="109">
        <f>$E$38+2*$H$189</f>
        <v>0.15367493162419762</v>
      </c>
      <c r="B201" s="101" cm="1">
        <f t="array" ref="B201">(SUMPRODUCT($E$148:$S$148,(1+$A201)^(-$E$147:$S$147))+$S$114*B$196*(1+$A201)^(-$B$158)+$B$162)*Actuals!$B$15/$B$164</f>
        <v>232.41510057431157</v>
      </c>
      <c r="C201" s="101" cm="1">
        <f t="array" ref="C201">(SUMPRODUCT($E$148:$S$148,(1+$A201)^(-$E$147:$S$147))+$S$114*C$196*(1+$A201)^(-$B$158)+$B$162)*Actuals!$B$15/$B$164</f>
        <v>252.74929365564395</v>
      </c>
      <c r="D201" s="101" cm="1">
        <f t="array" ref="D201">(SUMPRODUCT($E$148:$S$148,(1+$A201)^(-$E$147:$S$147))+$S$114*D$196*(1+$A201)^(-$B$158)+$B$162)*Actuals!$B$15/$B$164</f>
        <v>273.08348673697634</v>
      </c>
      <c r="E201" s="101" cm="1">
        <f t="array" ref="E201">(SUMPRODUCT($E$148:$S$148,(1+$A201)^(-$E$147:$S$147))+$S$114*E$196*(1+$A201)^(-$B$158)+$B$162)*Actuals!$B$15/$B$164</f>
        <v>293.41767981830873</v>
      </c>
      <c r="F201" s="101" cm="1">
        <f t="array" ref="F201">(SUMPRODUCT($E$148:$S$148,(1+$A201)^(-$E$147:$S$147))+$S$114*F$196*(1+$A201)^(-$B$158)+$B$162)*Actuals!$B$15/$B$164</f>
        <v>313.75187289964106</v>
      </c>
    </row>
    <row r="202" spans="1:8" ht="3" customHeight="1" x14ac:dyDescent="0.3"/>
    <row r="203" spans="1:8" x14ac:dyDescent="0.3">
      <c r="A203" s="183" t="s">
        <v>932</v>
      </c>
    </row>
  </sheetData>
  <sheetProtection algorithmName="SHA-512" hashValue="+02WNIPsXhNhctzmScJn44ssCLj7nL9S61gySRaYaY7LM28ICTQwENB5rsPIEeges3u3oknbpTEtY2ZbE79+6Q==" saltValue="0zXVxbd18qKsCkeoit5h+g==" spinCount="100000" sheet="1" objects="1" scenarios="1" sort="0" autoFilter="0"/>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67FB-68AD-4632-89A2-71DBBDA98D83}">
  <sheetPr>
    <tabColor rgb="FFD4A27F"/>
  </sheetPr>
  <dimension ref="A1:Z115"/>
  <sheetViews>
    <sheetView showGridLines="0" workbookViewId="0">
      <pane xSplit="2" topLeftCell="C1" activePane="topRight" state="frozen"/>
      <selection pane="topRight"/>
    </sheetView>
  </sheetViews>
  <sheetFormatPr defaultRowHeight="14.4" x14ac:dyDescent="0.3"/>
  <cols>
    <col min="1" max="1" width="70.33203125" style="1" customWidth="1"/>
    <col min="2" max="19" width="13.33203125" style="1" customWidth="1"/>
    <col min="20" max="26" width="8.88671875" style="1"/>
  </cols>
  <sheetData>
    <row r="1" spans="1:19" ht="30" customHeight="1" x14ac:dyDescent="0.4">
      <c r="A1" s="2" t="s">
        <v>874</v>
      </c>
    </row>
    <row r="2" spans="1:19" x14ac:dyDescent="0.3">
      <c r="A2" s="24" t="s">
        <v>699</v>
      </c>
    </row>
    <row r="3" spans="1:19" x14ac:dyDescent="0.3">
      <c r="A3" s="4" t="s">
        <v>175</v>
      </c>
    </row>
    <row r="5" spans="1:19" x14ac:dyDescent="0.3">
      <c r="A5" s="5" t="s">
        <v>176</v>
      </c>
      <c r="B5" s="5"/>
      <c r="C5" s="5"/>
      <c r="D5" s="5"/>
      <c r="E5" s="5"/>
      <c r="F5" s="5"/>
      <c r="G5" s="5"/>
      <c r="H5" s="5"/>
      <c r="I5" s="5"/>
      <c r="J5" s="5"/>
      <c r="K5" s="5"/>
      <c r="L5" s="5"/>
      <c r="M5" s="5"/>
      <c r="N5" s="5"/>
      <c r="O5" s="5"/>
      <c r="P5" s="5"/>
      <c r="Q5" s="5"/>
      <c r="R5" s="5"/>
      <c r="S5" s="5"/>
    </row>
    <row r="6" spans="1:19" x14ac:dyDescent="0.3">
      <c r="A6" s="6" t="s">
        <v>177</v>
      </c>
      <c r="B6" s="7" t="s">
        <v>4</v>
      </c>
      <c r="C6" s="7" t="s">
        <v>5</v>
      </c>
      <c r="D6" s="7" t="s">
        <v>6</v>
      </c>
      <c r="E6" s="7" t="s">
        <v>8</v>
      </c>
      <c r="F6" s="7" t="s">
        <v>44</v>
      </c>
      <c r="G6" s="7"/>
      <c r="H6" s="7"/>
      <c r="I6" s="7"/>
      <c r="J6" s="7"/>
      <c r="K6" s="7"/>
      <c r="L6" s="7"/>
      <c r="M6" s="7"/>
      <c r="N6" s="7"/>
      <c r="O6" s="7"/>
      <c r="P6" s="7"/>
      <c r="Q6" s="7"/>
      <c r="R6" s="7"/>
      <c r="S6" s="7"/>
    </row>
    <row r="7" spans="1:19" x14ac:dyDescent="0.3">
      <c r="A7" s="1" t="s">
        <v>178</v>
      </c>
      <c r="B7" s="41"/>
      <c r="C7" s="41">
        <f>Historicals!C7/Historicals!B7-1</f>
        <v>8.4146341463414629</v>
      </c>
      <c r="D7" s="41">
        <f>Historicals!D7/Historicals!C7-1</f>
        <v>10.878238341968911</v>
      </c>
      <c r="E7" s="41">
        <f>Historicals!F7/Historicals!E7-1</f>
        <v>13.003439380911436</v>
      </c>
      <c r="F7" s="41">
        <f>Historicals!G33/Historicals!C33-1</f>
        <v>13.682337992376112</v>
      </c>
    </row>
    <row r="8" spans="1:19" x14ac:dyDescent="0.3">
      <c r="A8" s="1" t="s">
        <v>179</v>
      </c>
      <c r="B8" s="41">
        <f>Historicals!B73/Historicals!B7</f>
        <v>4.878048780487805E-2</v>
      </c>
      <c r="C8" s="41">
        <f>Historicals!C73/Historicals!C7</f>
        <v>0.25388601036269431</v>
      </c>
      <c r="D8" s="41">
        <f>Historicals!D73/Historicals!D7</f>
        <v>0.17208287895310795</v>
      </c>
      <c r="E8" s="41">
        <f>Historicals!F73/Historicals!F7</f>
        <v>0.19783863440992264</v>
      </c>
      <c r="F8" s="41"/>
    </row>
    <row r="9" spans="1:19" x14ac:dyDescent="0.3">
      <c r="A9" s="1" t="s">
        <v>180</v>
      </c>
      <c r="B9" s="41">
        <f>Historicals!B70/Historicals!B7</f>
        <v>0.17073170731707318</v>
      </c>
      <c r="C9" s="41">
        <f>Historicals!C70/Historicals!C7</f>
        <v>0.31865284974093266</v>
      </c>
      <c r="D9" s="41">
        <f>Historicals!D70/Historicals!D7</f>
        <v>0.26673936750272625</v>
      </c>
      <c r="E9" s="41">
        <f>Historicals!F70/Historicals!F7</f>
        <v>0.27772319783863442</v>
      </c>
      <c r="F9" s="41"/>
    </row>
    <row r="10" spans="1:19" x14ac:dyDescent="0.3">
      <c r="A10" s="1" t="s">
        <v>181</v>
      </c>
      <c r="B10" s="41">
        <f>Historicals!B9/Historicals!B7</f>
        <v>10.560975609756097</v>
      </c>
      <c r="C10" s="41">
        <f>Historicals!C9/Historicals!C7</f>
        <v>6.5336787564766841</v>
      </c>
      <c r="D10" s="41">
        <f>Historicals!D9/Historicals!D7</f>
        <v>1.5978189749182115</v>
      </c>
      <c r="E10" s="41">
        <f>Historicals!F9/Historicals!F7</f>
        <v>0.54924475009210361</v>
      </c>
      <c r="F10" s="41">
        <f>Historicals!G35/Historicals!G33</f>
        <v>0.48100389441800084</v>
      </c>
    </row>
    <row r="11" spans="1:19" x14ac:dyDescent="0.3">
      <c r="A11" s="1" t="s">
        <v>182</v>
      </c>
      <c r="B11" s="41">
        <f>Historicals!B10/Historicals!B7</f>
        <v>2.3170731707317072</v>
      </c>
      <c r="C11" s="41">
        <f>Historicals!C10/Historicals!C7</f>
        <v>1.1761658031088082</v>
      </c>
      <c r="D11" s="41">
        <f>Historicals!D10/Historicals!D7</f>
        <v>0.40109051254089423</v>
      </c>
      <c r="E11" s="41">
        <f>Historicals!F10/Historicals!F7</f>
        <v>0.19354046420238241</v>
      </c>
      <c r="F11" s="41">
        <f>Historicals!G36/Historicals!G33</f>
        <v>0.16070964950237993</v>
      </c>
    </row>
    <row r="12" spans="1:19" x14ac:dyDescent="0.3">
      <c r="A12" s="1" t="s">
        <v>183</v>
      </c>
      <c r="B12" s="41">
        <f>Historicals!B12/Historicals!B7</f>
        <v>4.878048780487805E-2</v>
      </c>
      <c r="C12" s="41">
        <f>Historicals!C12/Historicals!C7</f>
        <v>0.11139896373056994</v>
      </c>
      <c r="D12" s="41">
        <f>Historicals!D12/Historicals!D7</f>
        <v>0.12388222464558342</v>
      </c>
      <c r="E12" s="41">
        <f>Historicals!F12/Historicals!F7</f>
        <v>0.19452290310696305</v>
      </c>
      <c r="F12" s="41">
        <f>Historicals!G38/Historicals!G33</f>
        <v>0.18476849848550411</v>
      </c>
    </row>
    <row r="13" spans="1:19" x14ac:dyDescent="0.3">
      <c r="A13" s="1" t="s">
        <v>184</v>
      </c>
      <c r="B13" s="41">
        <f>Historicals!B13/Historicals!B7</f>
        <v>1.5121951219512195</v>
      </c>
      <c r="C13" s="41">
        <f>Historicals!C13/Historicals!C7</f>
        <v>0.89896373056994816</v>
      </c>
      <c r="D13" s="41">
        <f>Historicals!D13/Historicals!D7</f>
        <v>0.30796074154852782</v>
      </c>
      <c r="E13" s="41">
        <f>Historicals!F13/Historicals!F7</f>
        <v>0.10524376765319907</v>
      </c>
      <c r="F13" s="41">
        <f>Historicals!G39/Historicals!G33</f>
        <v>8.9225443530938989E-2</v>
      </c>
    </row>
    <row r="14" spans="1:19" x14ac:dyDescent="0.3">
      <c r="A14" s="1" t="s">
        <v>185</v>
      </c>
      <c r="B14" s="41">
        <f>Historicals!B15/Historicals!B7</f>
        <v>-13.439024390243903</v>
      </c>
      <c r="C14" s="41">
        <f>Historicals!C15/Historicals!C7</f>
        <v>-7.7202072538860103</v>
      </c>
      <c r="D14" s="41">
        <f>Historicals!D15/Historicals!D7</f>
        <v>-1.7579062159214831</v>
      </c>
      <c r="E14" s="41">
        <f>Historicals!F15/Historicals!F7</f>
        <v>-4.2551885054648166E-2</v>
      </c>
      <c r="F14" s="41">
        <f>Historicals!G41/Historicals!G33</f>
        <v>8.4292514063176116E-2</v>
      </c>
    </row>
    <row r="15" spans="1:19" x14ac:dyDescent="0.3">
      <c r="A15" s="1" t="s">
        <v>186</v>
      </c>
      <c r="B15" s="41">
        <f>Historicals!B27/Historicals!B7</f>
        <v>-12.731707317073171</v>
      </c>
      <c r="C15" s="41">
        <f>Historicals!C27/Historicals!C7</f>
        <v>-7.2227979274611398</v>
      </c>
      <c r="D15" s="41">
        <f>Historicals!D27/Historicals!D7</f>
        <v>-1.0586695747001091</v>
      </c>
      <c r="E15" s="41">
        <f>Historicals!F27/Historicals!F7</f>
        <v>9.9349134225715341E-2</v>
      </c>
      <c r="F15" s="41">
        <f>Historicals!G54/Historicals!G33</f>
        <v>0.1934227607096495</v>
      </c>
    </row>
    <row r="16" spans="1:19" x14ac:dyDescent="0.3">
      <c r="A16" s="1" t="s">
        <v>187</v>
      </c>
      <c r="B16" s="41">
        <f>Historicals!B25/Historicals!B10</f>
        <v>0.30526315789473685</v>
      </c>
      <c r="C16" s="41">
        <f>Historicals!C25/Historicals!C10</f>
        <v>0.42290748898678415</v>
      </c>
      <c r="D16" s="41">
        <f>Historicals!D25/Historicals!D10</f>
        <v>0.62969004893964109</v>
      </c>
      <c r="E16" s="41">
        <f>Historicals!F25/Historicals!F10</f>
        <v>0.69321065989847719</v>
      </c>
      <c r="F16" s="41">
        <f>Historicals!G51/Historicals!G36</f>
        <v>0.67905223478729138</v>
      </c>
    </row>
    <row r="17" spans="1:19" x14ac:dyDescent="0.3">
      <c r="A17" s="1" t="s">
        <v>188</v>
      </c>
      <c r="B17" s="41">
        <f>-Historicals!B130/Historicals!B7</f>
        <v>4.878048780487805E-2</v>
      </c>
      <c r="C17" s="41">
        <f>-Historicals!C130/Historicals!C7</f>
        <v>3.8860103626943004E-2</v>
      </c>
      <c r="D17" s="41">
        <f>-Historicals!D130/Historicals!D7</f>
        <v>2.8571428571428571E-2</v>
      </c>
      <c r="E17" s="41">
        <f>-Historicals!F130/Historicals!F7</f>
        <v>2.959597200049122E-2</v>
      </c>
      <c r="F17" s="41"/>
    </row>
    <row r="18" spans="1:19" x14ac:dyDescent="0.3">
      <c r="A18" s="1" t="s">
        <v>189</v>
      </c>
      <c r="B18" s="41">
        <f>Historicals!B26/Historicals!B7</f>
        <v>7.3170731707317069E-2</v>
      </c>
      <c r="C18" s="41">
        <f>Historicals!C26/Historicals!C7</f>
        <v>5.4404145077720206E-2</v>
      </c>
      <c r="D18" s="41">
        <f>Historicals!D26/Historicals!D7</f>
        <v>8.7241003271537627E-3</v>
      </c>
      <c r="E18" s="41">
        <f>Historicals!F26/Historicals!F7</f>
        <v>5.9560358590200176E-3</v>
      </c>
      <c r="F18" s="41"/>
    </row>
    <row r="19" spans="1:19" ht="3" customHeight="1" x14ac:dyDescent="0.3"/>
    <row r="20" spans="1:19" x14ac:dyDescent="0.3">
      <c r="A20" s="6" t="s">
        <v>190</v>
      </c>
      <c r="B20" s="7" t="s">
        <v>191</v>
      </c>
      <c r="C20" s="7"/>
      <c r="D20" s="7"/>
      <c r="E20" s="7" t="s">
        <v>192</v>
      </c>
      <c r="F20" s="7" t="s">
        <v>193</v>
      </c>
      <c r="G20" s="7" t="s">
        <v>194</v>
      </c>
      <c r="H20" s="7" t="s">
        <v>195</v>
      </c>
      <c r="I20" s="7" t="s">
        <v>196</v>
      </c>
      <c r="J20" s="7" t="s">
        <v>197</v>
      </c>
      <c r="K20" s="7" t="s">
        <v>198</v>
      </c>
      <c r="L20" s="7" t="s">
        <v>199</v>
      </c>
      <c r="M20" s="7" t="s">
        <v>200</v>
      </c>
      <c r="N20" s="7" t="s">
        <v>201</v>
      </c>
      <c r="O20" s="7" t="s">
        <v>202</v>
      </c>
      <c r="P20" s="7" t="s">
        <v>203</v>
      </c>
      <c r="Q20" s="7" t="s">
        <v>204</v>
      </c>
      <c r="R20" s="7" t="s">
        <v>205</v>
      </c>
      <c r="S20" s="7" t="s">
        <v>206</v>
      </c>
    </row>
    <row r="21" spans="1:19" ht="3" customHeight="1" x14ac:dyDescent="0.3"/>
    <row r="22" spans="1:19" x14ac:dyDescent="0.3">
      <c r="A22" s="5" t="s">
        <v>207</v>
      </c>
      <c r="B22" s="5"/>
      <c r="C22" s="5"/>
      <c r="D22" s="5"/>
      <c r="E22" s="5"/>
      <c r="F22" s="5"/>
      <c r="G22" s="5"/>
      <c r="H22" s="5"/>
      <c r="I22" s="5"/>
      <c r="J22" s="5"/>
      <c r="K22" s="5"/>
      <c r="L22" s="5"/>
      <c r="M22" s="5"/>
      <c r="N22" s="5"/>
      <c r="O22" s="5"/>
      <c r="P22" s="5"/>
      <c r="Q22" s="5"/>
      <c r="R22" s="5"/>
      <c r="S22" s="5"/>
    </row>
    <row r="23" spans="1:19" x14ac:dyDescent="0.3">
      <c r="A23" s="1" t="s">
        <v>208</v>
      </c>
      <c r="B23" s="44" t="s">
        <v>209</v>
      </c>
      <c r="E23" s="61">
        <f>Actuals!$B$13/Historicals!$G$33-1</f>
        <v>0.44128083080917357</v>
      </c>
      <c r="F23" s="43"/>
      <c r="G23" s="43"/>
      <c r="H23" s="43"/>
      <c r="I23" s="43"/>
      <c r="J23" s="43"/>
      <c r="K23" s="43"/>
      <c r="L23" s="43"/>
      <c r="M23" s="43"/>
      <c r="N23" s="43"/>
      <c r="O23" s="43"/>
      <c r="P23" s="43"/>
      <c r="Q23" s="43"/>
      <c r="R23" s="43"/>
      <c r="S23" s="43"/>
    </row>
    <row r="24" spans="1:19" x14ac:dyDescent="0.3">
      <c r="A24" s="1" t="s">
        <v>210</v>
      </c>
      <c r="B24" s="44" t="s">
        <v>209</v>
      </c>
      <c r="E24" s="43">
        <v>0.12</v>
      </c>
      <c r="F24" s="43"/>
      <c r="G24" s="43"/>
      <c r="H24" s="43"/>
      <c r="I24" s="43"/>
      <c r="J24" s="43"/>
      <c r="K24" s="43"/>
      <c r="L24" s="43"/>
      <c r="M24" s="43"/>
      <c r="N24" s="43"/>
      <c r="O24" s="43"/>
      <c r="P24" s="43"/>
      <c r="Q24" s="43"/>
      <c r="R24" s="43"/>
      <c r="S24" s="43"/>
    </row>
    <row r="25" spans="1:19" x14ac:dyDescent="0.3">
      <c r="A25" s="1" t="s">
        <v>211</v>
      </c>
      <c r="B25" s="44" t="s">
        <v>212</v>
      </c>
      <c r="E25" s="43">
        <v>0.2</v>
      </c>
      <c r="F25" s="43"/>
      <c r="G25" s="43"/>
      <c r="H25" s="43"/>
      <c r="I25" s="43"/>
      <c r="J25" s="43"/>
      <c r="K25" s="43"/>
      <c r="L25" s="43"/>
      <c r="M25" s="43"/>
      <c r="N25" s="43"/>
      <c r="O25" s="43"/>
      <c r="P25" s="43"/>
      <c r="Q25" s="43"/>
      <c r="R25" s="43"/>
      <c r="S25" s="43"/>
    </row>
    <row r="26" spans="1:19" x14ac:dyDescent="0.3">
      <c r="A26" s="1" t="s">
        <v>213</v>
      </c>
      <c r="B26" s="44" t="s">
        <v>214</v>
      </c>
      <c r="E26" s="43"/>
      <c r="F26" s="43">
        <v>0.7</v>
      </c>
      <c r="G26" s="43">
        <v>0.35</v>
      </c>
      <c r="H26" s="43">
        <v>0.22</v>
      </c>
      <c r="I26" s="43">
        <v>0.16</v>
      </c>
      <c r="J26" s="43">
        <v>0.12</v>
      </c>
      <c r="K26" s="43">
        <v>0.1</v>
      </c>
      <c r="L26" s="43">
        <v>0.08</v>
      </c>
      <c r="M26" s="43">
        <v>7.0000000000000007E-2</v>
      </c>
      <c r="N26" s="43">
        <v>0.06</v>
      </c>
      <c r="O26" s="43">
        <v>0.05</v>
      </c>
      <c r="P26" s="43">
        <v>4.4999999999999998E-2</v>
      </c>
      <c r="Q26" s="43">
        <v>0.04</v>
      </c>
      <c r="R26" s="43">
        <v>3.5000000000000003E-2</v>
      </c>
      <c r="S26" s="43">
        <v>0.03</v>
      </c>
    </row>
    <row r="27" spans="1:19" x14ac:dyDescent="0.3">
      <c r="A27" s="1" t="s">
        <v>215</v>
      </c>
      <c r="B27" s="44" t="s">
        <v>214</v>
      </c>
      <c r="E27" s="43"/>
      <c r="F27" s="43">
        <v>0.6</v>
      </c>
      <c r="G27" s="43">
        <v>0.3</v>
      </c>
      <c r="H27" s="43">
        <v>0.2</v>
      </c>
      <c r="I27" s="43">
        <v>0.15</v>
      </c>
      <c r="J27" s="43">
        <v>0.11</v>
      </c>
      <c r="K27" s="43">
        <v>0.09</v>
      </c>
      <c r="L27" s="43">
        <v>7.4999999999999997E-2</v>
      </c>
      <c r="M27" s="43">
        <v>6.5000000000000002E-2</v>
      </c>
      <c r="N27" s="43">
        <v>5.5E-2</v>
      </c>
      <c r="O27" s="43">
        <v>4.4999999999999998E-2</v>
      </c>
      <c r="P27" s="43">
        <v>0.04</v>
      </c>
      <c r="Q27" s="43">
        <v>3.5000000000000003E-2</v>
      </c>
      <c r="R27" s="43">
        <v>0.03</v>
      </c>
      <c r="S27" s="43">
        <v>0.03</v>
      </c>
    </row>
    <row r="28" spans="1:19" x14ac:dyDescent="0.3">
      <c r="A28" s="1" t="s">
        <v>180</v>
      </c>
      <c r="B28" s="44" t="s">
        <v>212</v>
      </c>
      <c r="E28" s="43">
        <v>0.27</v>
      </c>
      <c r="F28" s="43">
        <v>0.27500000000000002</v>
      </c>
      <c r="G28" s="43">
        <v>0.28000000000000003</v>
      </c>
      <c r="H28" s="43">
        <v>0.28499999999999998</v>
      </c>
      <c r="I28" s="43">
        <v>0.28999999999999998</v>
      </c>
      <c r="J28" s="43">
        <v>0.29499999999999998</v>
      </c>
      <c r="K28" s="43">
        <v>0.3</v>
      </c>
      <c r="L28" s="43">
        <v>0.30499999999999999</v>
      </c>
      <c r="M28" s="43">
        <v>0.31</v>
      </c>
      <c r="N28" s="43">
        <v>0.315</v>
      </c>
      <c r="O28" s="43">
        <v>0.32</v>
      </c>
      <c r="P28" s="43">
        <v>0.32500000000000001</v>
      </c>
      <c r="Q28" s="43">
        <v>0.33</v>
      </c>
      <c r="R28" s="43">
        <v>0.33</v>
      </c>
      <c r="S28" s="43">
        <v>0.33</v>
      </c>
    </row>
    <row r="29" spans="1:19" x14ac:dyDescent="0.3">
      <c r="A29" s="1" t="s">
        <v>216</v>
      </c>
      <c r="B29" s="44" t="s">
        <v>214</v>
      </c>
      <c r="E29" s="43">
        <v>7</v>
      </c>
      <c r="F29" s="43">
        <v>0.6</v>
      </c>
      <c r="G29" s="43">
        <v>0.35</v>
      </c>
      <c r="H29" s="43">
        <v>0.22</v>
      </c>
      <c r="I29" s="43">
        <v>0.16</v>
      </c>
      <c r="J29" s="43">
        <v>0.12</v>
      </c>
      <c r="K29" s="43">
        <v>0.1</v>
      </c>
      <c r="L29" s="43">
        <v>0.08</v>
      </c>
      <c r="M29" s="43">
        <v>0.06</v>
      </c>
      <c r="N29" s="43">
        <v>0.05</v>
      </c>
      <c r="O29" s="43">
        <v>0.04</v>
      </c>
      <c r="P29" s="43">
        <v>3.5000000000000003E-2</v>
      </c>
      <c r="Q29" s="43">
        <v>0.03</v>
      </c>
      <c r="R29" s="43">
        <v>0.03</v>
      </c>
      <c r="S29" s="43">
        <v>2.5000000000000001E-2</v>
      </c>
    </row>
    <row r="30" spans="1:19" x14ac:dyDescent="0.3">
      <c r="A30" s="1" t="s">
        <v>217</v>
      </c>
      <c r="B30" s="44" t="s">
        <v>212</v>
      </c>
      <c r="E30" s="43">
        <v>0.76</v>
      </c>
      <c r="F30" s="43">
        <v>0.76500000000000001</v>
      </c>
      <c r="G30" s="43">
        <v>0.77</v>
      </c>
      <c r="H30" s="43">
        <v>0.77500000000000002</v>
      </c>
      <c r="I30" s="43">
        <v>0.78</v>
      </c>
      <c r="J30" s="43">
        <v>0.78500000000000003</v>
      </c>
      <c r="K30" s="43">
        <v>0.79</v>
      </c>
      <c r="L30" s="43">
        <v>0.79500000000000004</v>
      </c>
      <c r="M30" s="43">
        <v>0.8</v>
      </c>
      <c r="N30" s="43">
        <v>0.8</v>
      </c>
      <c r="O30" s="43">
        <v>0.8</v>
      </c>
      <c r="P30" s="43">
        <v>0.8</v>
      </c>
      <c r="Q30" s="43">
        <v>0.8</v>
      </c>
      <c r="R30" s="43">
        <v>0.8</v>
      </c>
      <c r="S30" s="43">
        <v>0.8</v>
      </c>
    </row>
    <row r="31" spans="1:19" x14ac:dyDescent="0.3">
      <c r="A31" s="1" t="s">
        <v>218</v>
      </c>
      <c r="B31" s="44" t="s">
        <v>212</v>
      </c>
      <c r="E31" s="43">
        <v>0.32</v>
      </c>
      <c r="F31" s="43">
        <v>0.315</v>
      </c>
      <c r="G31" s="43">
        <v>0.31</v>
      </c>
      <c r="H31" s="43">
        <v>0.29499999999999998</v>
      </c>
      <c r="I31" s="43">
        <v>0.28000000000000003</v>
      </c>
      <c r="J31" s="43">
        <v>0.27</v>
      </c>
      <c r="K31" s="43">
        <v>0.26</v>
      </c>
      <c r="L31" s="43">
        <v>0.255</v>
      </c>
      <c r="M31" s="43">
        <v>0.25</v>
      </c>
      <c r="N31" s="43">
        <v>0.245</v>
      </c>
      <c r="O31" s="43">
        <v>0.24</v>
      </c>
      <c r="P31" s="43">
        <v>0.24</v>
      </c>
      <c r="Q31" s="43">
        <v>0.24</v>
      </c>
      <c r="R31" s="43">
        <v>0.24</v>
      </c>
      <c r="S31" s="43">
        <v>0.24</v>
      </c>
    </row>
    <row r="32" spans="1:19" x14ac:dyDescent="0.3">
      <c r="A32" s="1" t="s">
        <v>219</v>
      </c>
      <c r="B32" s="44" t="s">
        <v>212</v>
      </c>
      <c r="E32" s="43">
        <v>0.28000000000000003</v>
      </c>
      <c r="F32" s="43">
        <v>0.25</v>
      </c>
      <c r="G32" s="43">
        <v>0.22500000000000001</v>
      </c>
      <c r="H32" s="43">
        <v>0.20499999999999999</v>
      </c>
      <c r="I32" s="43">
        <v>0.19</v>
      </c>
      <c r="J32" s="43">
        <v>0.18</v>
      </c>
      <c r="K32" s="43">
        <v>0.17</v>
      </c>
      <c r="L32" s="43">
        <v>0.16</v>
      </c>
      <c r="M32" s="43">
        <v>0.155</v>
      </c>
      <c r="N32" s="43">
        <v>0.15</v>
      </c>
      <c r="O32" s="43">
        <v>0.14499999999999999</v>
      </c>
      <c r="P32" s="43">
        <v>0.14000000000000001</v>
      </c>
      <c r="Q32" s="43">
        <v>0.14000000000000001</v>
      </c>
      <c r="R32" s="43">
        <v>0.14000000000000001</v>
      </c>
      <c r="S32" s="43">
        <v>0.14000000000000001</v>
      </c>
    </row>
    <row r="33" spans="1:19" x14ac:dyDescent="0.3">
      <c r="A33" s="1" t="s">
        <v>220</v>
      </c>
      <c r="B33" s="44" t="s">
        <v>221</v>
      </c>
      <c r="E33" s="45">
        <v>12000</v>
      </c>
      <c r="F33" s="45">
        <v>11760</v>
      </c>
      <c r="G33" s="45">
        <v>11524.8</v>
      </c>
      <c r="H33" s="45">
        <v>11294.3</v>
      </c>
      <c r="I33" s="45">
        <v>11068.4</v>
      </c>
      <c r="J33" s="45">
        <v>10847</v>
      </c>
      <c r="K33" s="45">
        <v>10630.1</v>
      </c>
      <c r="L33" s="45">
        <v>10417.5</v>
      </c>
      <c r="M33" s="45">
        <v>10209.200000000001</v>
      </c>
      <c r="N33" s="45">
        <v>10005</v>
      </c>
      <c r="O33" s="45">
        <v>9804.9</v>
      </c>
      <c r="P33" s="45">
        <v>9608.7999999999993</v>
      </c>
      <c r="Q33" s="45">
        <v>9416.6</v>
      </c>
      <c r="R33" s="45">
        <v>9228.2999999999993</v>
      </c>
      <c r="S33" s="45">
        <v>9043.7000000000007</v>
      </c>
    </row>
    <row r="34" spans="1:19" x14ac:dyDescent="0.3">
      <c r="A34" s="1" t="s">
        <v>222</v>
      </c>
      <c r="B34" s="44" t="s">
        <v>223</v>
      </c>
      <c r="E34" s="39">
        <v>650</v>
      </c>
      <c r="F34" s="39">
        <v>630.5</v>
      </c>
      <c r="G34" s="39">
        <v>611.6</v>
      </c>
      <c r="H34" s="39">
        <v>593.20000000000005</v>
      </c>
      <c r="I34" s="39">
        <v>575.4</v>
      </c>
      <c r="J34" s="39">
        <v>558.20000000000005</v>
      </c>
      <c r="K34" s="39">
        <v>541.4</v>
      </c>
      <c r="L34" s="39">
        <v>525.20000000000005</v>
      </c>
      <c r="M34" s="39">
        <v>509.4</v>
      </c>
      <c r="N34" s="39">
        <v>494.2</v>
      </c>
      <c r="O34" s="39">
        <v>479.3</v>
      </c>
      <c r="P34" s="39">
        <v>464.9</v>
      </c>
      <c r="Q34" s="39">
        <v>451</v>
      </c>
      <c r="R34" s="39">
        <v>437.5</v>
      </c>
      <c r="S34" s="39">
        <v>424.3</v>
      </c>
    </row>
    <row r="35" spans="1:19" x14ac:dyDescent="0.3">
      <c r="A35" s="1" t="s">
        <v>224</v>
      </c>
      <c r="B35" s="44" t="s">
        <v>225</v>
      </c>
      <c r="E35" s="43">
        <v>0.05</v>
      </c>
      <c r="F35" s="43">
        <v>0.1</v>
      </c>
      <c r="G35" s="43">
        <v>0.15</v>
      </c>
      <c r="H35" s="43">
        <v>0.2</v>
      </c>
      <c r="I35" s="43">
        <v>0.25</v>
      </c>
      <c r="J35" s="43">
        <v>0.25</v>
      </c>
      <c r="K35" s="43">
        <v>0.25</v>
      </c>
      <c r="L35" s="43">
        <v>0.25</v>
      </c>
      <c r="M35" s="43">
        <v>0.25</v>
      </c>
      <c r="N35" s="43">
        <v>0.25</v>
      </c>
      <c r="O35" s="43">
        <v>0.25</v>
      </c>
      <c r="P35" s="43">
        <v>0.25</v>
      </c>
      <c r="Q35" s="43">
        <v>0.25</v>
      </c>
      <c r="R35" s="43">
        <v>0.25</v>
      </c>
      <c r="S35" s="43">
        <v>0.25</v>
      </c>
    </row>
    <row r="36" spans="1:19" x14ac:dyDescent="0.3">
      <c r="A36" s="1" t="s">
        <v>226</v>
      </c>
      <c r="B36" s="44" t="s">
        <v>227</v>
      </c>
      <c r="E36" s="45">
        <v>40000</v>
      </c>
      <c r="F36" s="45">
        <v>38400</v>
      </c>
      <c r="G36" s="45">
        <v>36864</v>
      </c>
      <c r="H36" s="45">
        <v>35389.4</v>
      </c>
      <c r="I36" s="45">
        <v>33973.9</v>
      </c>
      <c r="J36" s="45">
        <v>32614.9</v>
      </c>
      <c r="K36" s="45">
        <v>31310.3</v>
      </c>
      <c r="L36" s="45">
        <v>30057.9</v>
      </c>
      <c r="M36" s="45">
        <v>28855.599999999999</v>
      </c>
      <c r="N36" s="45">
        <v>27701.4</v>
      </c>
      <c r="O36" s="45">
        <v>26593.3</v>
      </c>
      <c r="P36" s="45">
        <v>25529.599999999999</v>
      </c>
      <c r="Q36" s="45">
        <v>24508.400000000001</v>
      </c>
      <c r="R36" s="45">
        <v>23528.1</v>
      </c>
      <c r="S36" s="45">
        <v>22586.9</v>
      </c>
    </row>
    <row r="37" spans="1:19" x14ac:dyDescent="0.3">
      <c r="A37" s="1" t="s">
        <v>228</v>
      </c>
      <c r="B37" s="44" t="s">
        <v>221</v>
      </c>
      <c r="E37" s="45">
        <v>2000</v>
      </c>
      <c r="F37" s="45">
        <v>2040</v>
      </c>
      <c r="G37" s="45">
        <v>2080.8000000000002</v>
      </c>
      <c r="H37" s="45">
        <v>2122.4</v>
      </c>
      <c r="I37" s="45">
        <v>2164.9</v>
      </c>
      <c r="J37" s="45">
        <v>2208.1999999999998</v>
      </c>
      <c r="K37" s="45">
        <v>2252.3000000000002</v>
      </c>
      <c r="L37" s="45">
        <v>2297.4</v>
      </c>
      <c r="M37" s="45">
        <v>2343.3000000000002</v>
      </c>
      <c r="N37" s="45">
        <v>2390.1999999999998</v>
      </c>
      <c r="O37" s="45">
        <v>2438</v>
      </c>
      <c r="P37" s="45">
        <v>2486.6999999999998</v>
      </c>
      <c r="Q37" s="45">
        <v>2536.5</v>
      </c>
      <c r="R37" s="45">
        <v>2587.1999999999998</v>
      </c>
      <c r="S37" s="45">
        <v>2639</v>
      </c>
    </row>
    <row r="38" spans="1:19" x14ac:dyDescent="0.3">
      <c r="A38" s="1" t="s">
        <v>229</v>
      </c>
      <c r="B38" s="44" t="s">
        <v>230</v>
      </c>
      <c r="E38" s="46">
        <v>5</v>
      </c>
      <c r="F38" s="46"/>
      <c r="G38" s="46"/>
      <c r="H38" s="46"/>
      <c r="I38" s="46"/>
      <c r="J38" s="46"/>
      <c r="K38" s="46"/>
      <c r="L38" s="46"/>
      <c r="M38" s="46"/>
      <c r="N38" s="46"/>
      <c r="O38" s="46"/>
      <c r="P38" s="46"/>
      <c r="Q38" s="46"/>
      <c r="R38" s="46"/>
      <c r="S38" s="46"/>
    </row>
    <row r="39" spans="1:19" x14ac:dyDescent="0.3">
      <c r="A39" s="1" t="s">
        <v>231</v>
      </c>
      <c r="B39" s="44" t="s">
        <v>232</v>
      </c>
      <c r="E39" s="39">
        <v>6000</v>
      </c>
      <c r="F39" s="39"/>
      <c r="G39" s="39"/>
      <c r="H39" s="39"/>
      <c r="I39" s="39"/>
      <c r="J39" s="39"/>
      <c r="K39" s="39"/>
      <c r="L39" s="39"/>
      <c r="M39" s="39"/>
      <c r="N39" s="39"/>
      <c r="O39" s="39"/>
      <c r="P39" s="39"/>
      <c r="Q39" s="39"/>
      <c r="R39" s="39"/>
      <c r="S39" s="39"/>
    </row>
    <row r="40" spans="1:19" x14ac:dyDescent="0.3">
      <c r="A40" s="1" t="s">
        <v>233</v>
      </c>
      <c r="B40" s="44" t="s">
        <v>214</v>
      </c>
      <c r="E40" s="43"/>
      <c r="F40" s="43">
        <v>0.2</v>
      </c>
      <c r="G40" s="43">
        <v>0.15</v>
      </c>
      <c r="H40" s="43">
        <v>0.1</v>
      </c>
      <c r="I40" s="43">
        <v>0.08</v>
      </c>
      <c r="J40" s="43">
        <v>0.06</v>
      </c>
      <c r="K40" s="43">
        <v>0.05</v>
      </c>
      <c r="L40" s="43">
        <v>0.04</v>
      </c>
      <c r="M40" s="43">
        <v>3.5000000000000003E-2</v>
      </c>
      <c r="N40" s="43">
        <v>0.03</v>
      </c>
      <c r="O40" s="43">
        <v>0.03</v>
      </c>
      <c r="P40" s="43">
        <v>2.5000000000000001E-2</v>
      </c>
      <c r="Q40" s="43">
        <v>2.5000000000000001E-2</v>
      </c>
      <c r="R40" s="43">
        <v>0.02</v>
      </c>
      <c r="S40" s="43">
        <v>0.02</v>
      </c>
    </row>
    <row r="41" spans="1:19" x14ac:dyDescent="0.3">
      <c r="A41" s="1" t="s">
        <v>234</v>
      </c>
      <c r="B41" s="44" t="s">
        <v>235</v>
      </c>
      <c r="E41" s="47">
        <v>1.5</v>
      </c>
      <c r="F41" s="47"/>
      <c r="G41" s="47"/>
      <c r="H41" s="47"/>
      <c r="I41" s="47"/>
      <c r="J41" s="47"/>
      <c r="K41" s="47"/>
      <c r="L41" s="47"/>
      <c r="M41" s="47"/>
      <c r="N41" s="47"/>
      <c r="O41" s="47"/>
      <c r="P41" s="47"/>
      <c r="Q41" s="47"/>
      <c r="R41" s="47"/>
      <c r="S41" s="47"/>
    </row>
    <row r="42" spans="1:19" x14ac:dyDescent="0.3">
      <c r="A42" s="1" t="s">
        <v>236</v>
      </c>
      <c r="B42" s="44" t="s">
        <v>214</v>
      </c>
      <c r="E42" s="43"/>
      <c r="F42" s="43">
        <v>0.05</v>
      </c>
      <c r="G42" s="43">
        <v>0.05</v>
      </c>
      <c r="H42" s="43">
        <v>0.05</v>
      </c>
      <c r="I42" s="43">
        <v>0.05</v>
      </c>
      <c r="J42" s="43">
        <v>0.05</v>
      </c>
      <c r="K42" s="43">
        <v>0.05</v>
      </c>
      <c r="L42" s="43">
        <v>0.05</v>
      </c>
      <c r="M42" s="43">
        <v>0.05</v>
      </c>
      <c r="N42" s="43">
        <v>0.05</v>
      </c>
      <c r="O42" s="43">
        <v>0.05</v>
      </c>
      <c r="P42" s="43">
        <v>0.05</v>
      </c>
      <c r="Q42" s="43">
        <v>0.05</v>
      </c>
      <c r="R42" s="43">
        <v>0.05</v>
      </c>
      <c r="S42" s="43">
        <v>0.05</v>
      </c>
    </row>
    <row r="43" spans="1:19" x14ac:dyDescent="0.3">
      <c r="A43" s="1" t="s">
        <v>187</v>
      </c>
      <c r="B43" s="44" t="s">
        <v>237</v>
      </c>
      <c r="E43" s="43">
        <v>0.65</v>
      </c>
      <c r="F43" s="43">
        <v>0.6</v>
      </c>
      <c r="G43" s="43">
        <v>0.55000000000000004</v>
      </c>
      <c r="H43" s="43">
        <v>0.5</v>
      </c>
      <c r="I43" s="43">
        <v>0.46</v>
      </c>
      <c r="J43" s="43">
        <v>0.42</v>
      </c>
      <c r="K43" s="43">
        <v>0.4</v>
      </c>
      <c r="L43" s="43">
        <v>0.38</v>
      </c>
      <c r="M43" s="43">
        <v>0.36</v>
      </c>
      <c r="N43" s="43">
        <v>0.35</v>
      </c>
      <c r="O43" s="43">
        <v>0.34</v>
      </c>
      <c r="P43" s="43">
        <v>0.33</v>
      </c>
      <c r="Q43" s="43">
        <v>0.32</v>
      </c>
      <c r="R43" s="43">
        <v>0.31</v>
      </c>
      <c r="S43" s="43">
        <v>0.3</v>
      </c>
    </row>
    <row r="44" spans="1:19" x14ac:dyDescent="0.3">
      <c r="A44" s="1" t="s">
        <v>183</v>
      </c>
      <c r="B44" s="44" t="s">
        <v>212</v>
      </c>
      <c r="E44" s="43">
        <v>0.21</v>
      </c>
      <c r="F44" s="43">
        <v>0.19</v>
      </c>
      <c r="G44" s="43">
        <v>0.17499999999999999</v>
      </c>
      <c r="H44" s="43">
        <v>0.16500000000000001</v>
      </c>
      <c r="I44" s="43">
        <v>0.155</v>
      </c>
      <c r="J44" s="43">
        <v>0.14499999999999999</v>
      </c>
      <c r="K44" s="43">
        <v>0.14000000000000001</v>
      </c>
      <c r="L44" s="43">
        <v>0.13500000000000001</v>
      </c>
      <c r="M44" s="43">
        <v>0.13</v>
      </c>
      <c r="N44" s="43">
        <v>0.13</v>
      </c>
      <c r="O44" s="43">
        <v>0.13</v>
      </c>
      <c r="P44" s="43">
        <v>0.13</v>
      </c>
      <c r="Q44" s="43">
        <v>0.13</v>
      </c>
      <c r="R44" s="43">
        <v>0.13</v>
      </c>
      <c r="S44" s="43">
        <v>0.13</v>
      </c>
    </row>
    <row r="45" spans="1:19" x14ac:dyDescent="0.3">
      <c r="A45" s="1" t="s">
        <v>238</v>
      </c>
      <c r="B45" s="44" t="s">
        <v>212</v>
      </c>
      <c r="E45" s="43">
        <v>0.11</v>
      </c>
      <c r="F45" s="43">
        <v>0.1</v>
      </c>
      <c r="G45" s="43">
        <v>0.09</v>
      </c>
      <c r="H45" s="43">
        <v>8.5000000000000006E-2</v>
      </c>
      <c r="I45" s="43">
        <v>0.08</v>
      </c>
      <c r="J45" s="43">
        <v>7.4999999999999997E-2</v>
      </c>
      <c r="K45" s="43">
        <v>7.0000000000000007E-2</v>
      </c>
      <c r="L45" s="43">
        <v>7.0000000000000007E-2</v>
      </c>
      <c r="M45" s="43">
        <v>6.5000000000000002E-2</v>
      </c>
      <c r="N45" s="43">
        <v>6.5000000000000002E-2</v>
      </c>
      <c r="O45" s="43">
        <v>6.5000000000000002E-2</v>
      </c>
      <c r="P45" s="43">
        <v>6.5000000000000002E-2</v>
      </c>
      <c r="Q45" s="43">
        <v>6.5000000000000002E-2</v>
      </c>
      <c r="R45" s="43">
        <v>6.5000000000000002E-2</v>
      </c>
      <c r="S45" s="43">
        <v>6.5000000000000002E-2</v>
      </c>
    </row>
    <row r="46" spans="1:19" x14ac:dyDescent="0.3">
      <c r="A46" s="1" t="s">
        <v>239</v>
      </c>
      <c r="B46" s="44" t="s">
        <v>212</v>
      </c>
      <c r="E46" s="43">
        <v>1.2E-2</v>
      </c>
      <c r="F46" s="43">
        <v>1.2E-2</v>
      </c>
      <c r="G46" s="43">
        <v>1.2E-2</v>
      </c>
      <c r="H46" s="43">
        <v>1.2E-2</v>
      </c>
      <c r="I46" s="43">
        <v>1.2E-2</v>
      </c>
      <c r="J46" s="43">
        <v>1.2E-2</v>
      </c>
      <c r="K46" s="43">
        <v>1.2E-2</v>
      </c>
      <c r="L46" s="43">
        <v>1.2E-2</v>
      </c>
      <c r="M46" s="43">
        <v>1.2E-2</v>
      </c>
      <c r="N46" s="43">
        <v>1.2E-2</v>
      </c>
      <c r="O46" s="43">
        <v>1.2E-2</v>
      </c>
      <c r="P46" s="43">
        <v>1.2E-2</v>
      </c>
      <c r="Q46" s="43">
        <v>1.2E-2</v>
      </c>
      <c r="R46" s="43">
        <v>1.2E-2</v>
      </c>
      <c r="S46" s="43">
        <v>1.2E-2</v>
      </c>
    </row>
    <row r="47" spans="1:19" x14ac:dyDescent="0.3">
      <c r="A47" s="1" t="s">
        <v>240</v>
      </c>
      <c r="B47" s="44" t="s">
        <v>212</v>
      </c>
      <c r="E47" s="43">
        <v>5.0000000000000001E-3</v>
      </c>
      <c r="F47" s="43">
        <v>5.0000000000000001E-3</v>
      </c>
      <c r="G47" s="43">
        <v>5.0000000000000001E-3</v>
      </c>
      <c r="H47" s="43">
        <v>5.0000000000000001E-3</v>
      </c>
      <c r="I47" s="43">
        <v>5.0000000000000001E-3</v>
      </c>
      <c r="J47" s="43">
        <v>5.0000000000000001E-3</v>
      </c>
      <c r="K47" s="43">
        <v>5.0000000000000001E-3</v>
      </c>
      <c r="L47" s="43">
        <v>5.0000000000000001E-3</v>
      </c>
      <c r="M47" s="43">
        <v>5.0000000000000001E-3</v>
      </c>
      <c r="N47" s="43">
        <v>5.0000000000000001E-3</v>
      </c>
      <c r="O47" s="43">
        <v>5.0000000000000001E-3</v>
      </c>
      <c r="P47" s="43">
        <v>5.0000000000000001E-3</v>
      </c>
      <c r="Q47" s="43">
        <v>5.0000000000000001E-3</v>
      </c>
      <c r="R47" s="43">
        <v>5.0000000000000001E-3</v>
      </c>
      <c r="S47" s="43">
        <v>5.0000000000000001E-3</v>
      </c>
    </row>
    <row r="48" spans="1:19" x14ac:dyDescent="0.3">
      <c r="A48" s="1" t="s">
        <v>241</v>
      </c>
      <c r="B48" s="44" t="s">
        <v>242</v>
      </c>
      <c r="E48" s="43">
        <v>0.05</v>
      </c>
      <c r="F48" s="43">
        <v>0.05</v>
      </c>
      <c r="G48" s="43">
        <v>0.05</v>
      </c>
      <c r="H48" s="43">
        <v>0.05</v>
      </c>
      <c r="I48" s="43">
        <v>0.05</v>
      </c>
      <c r="J48" s="43">
        <v>0.05</v>
      </c>
      <c r="K48" s="43">
        <v>0.05</v>
      </c>
      <c r="L48" s="43">
        <v>0.05</v>
      </c>
      <c r="M48" s="43">
        <v>0.05</v>
      </c>
      <c r="N48" s="43">
        <v>0.05</v>
      </c>
      <c r="O48" s="43">
        <v>0.05</v>
      </c>
      <c r="P48" s="43">
        <v>0.05</v>
      </c>
      <c r="Q48" s="43">
        <v>0.05</v>
      </c>
      <c r="R48" s="43">
        <v>0.05</v>
      </c>
      <c r="S48" s="43">
        <v>0.05</v>
      </c>
    </row>
    <row r="49" spans="1:19" x14ac:dyDescent="0.3">
      <c r="A49" s="1" t="s">
        <v>243</v>
      </c>
      <c r="B49" s="44" t="s">
        <v>244</v>
      </c>
      <c r="E49" s="43">
        <v>2.5000000000000001E-2</v>
      </c>
      <c r="F49" s="43"/>
      <c r="G49" s="43"/>
      <c r="H49" s="43"/>
      <c r="I49" s="43"/>
      <c r="J49" s="43"/>
      <c r="K49" s="43"/>
      <c r="L49" s="43"/>
      <c r="M49" s="43"/>
      <c r="N49" s="43"/>
      <c r="O49" s="43"/>
      <c r="P49" s="43"/>
      <c r="Q49" s="43"/>
      <c r="R49" s="43"/>
      <c r="S49" s="43"/>
    </row>
    <row r="50" spans="1:19" x14ac:dyDescent="0.3">
      <c r="A50" s="1" t="s">
        <v>245</v>
      </c>
      <c r="B50" s="44" t="s">
        <v>246</v>
      </c>
      <c r="E50" s="48">
        <v>11</v>
      </c>
      <c r="F50" s="48"/>
      <c r="G50" s="48"/>
      <c r="H50" s="48"/>
      <c r="I50" s="48"/>
      <c r="J50" s="48"/>
      <c r="K50" s="48"/>
      <c r="L50" s="48"/>
      <c r="M50" s="48"/>
      <c r="N50" s="48"/>
      <c r="O50" s="48"/>
      <c r="P50" s="48"/>
      <c r="Q50" s="48"/>
      <c r="R50" s="48"/>
      <c r="S50" s="48"/>
    </row>
    <row r="51" spans="1:19" x14ac:dyDescent="0.3">
      <c r="A51" s="1" t="s">
        <v>247</v>
      </c>
      <c r="B51" s="44" t="s">
        <v>244</v>
      </c>
      <c r="E51" s="32">
        <v>0.25</v>
      </c>
      <c r="F51" s="32"/>
      <c r="G51" s="32"/>
      <c r="H51" s="32"/>
      <c r="I51" s="32"/>
      <c r="J51" s="32"/>
      <c r="K51" s="32"/>
      <c r="L51" s="32"/>
      <c r="M51" s="32"/>
      <c r="N51" s="32"/>
      <c r="O51" s="32"/>
      <c r="P51" s="32"/>
      <c r="Q51" s="32"/>
      <c r="R51" s="32"/>
      <c r="S51" s="32"/>
    </row>
    <row r="52" spans="1:19" ht="3" customHeight="1" x14ac:dyDescent="0.3"/>
    <row r="53" spans="1:19" x14ac:dyDescent="0.3">
      <c r="A53" s="5" t="s">
        <v>248</v>
      </c>
      <c r="B53" s="5"/>
      <c r="C53" s="5"/>
      <c r="D53" s="5"/>
      <c r="E53" s="5"/>
      <c r="F53" s="5"/>
      <c r="G53" s="5"/>
      <c r="H53" s="5"/>
      <c r="I53" s="5"/>
      <c r="J53" s="5"/>
      <c r="K53" s="5"/>
      <c r="L53" s="5"/>
      <c r="M53" s="5"/>
      <c r="N53" s="5"/>
      <c r="O53" s="5"/>
      <c r="P53" s="5"/>
      <c r="Q53" s="5"/>
      <c r="R53" s="5"/>
      <c r="S53" s="5"/>
    </row>
    <row r="54" spans="1:19" x14ac:dyDescent="0.3">
      <c r="A54" s="1" t="s">
        <v>208</v>
      </c>
      <c r="B54" s="44" t="s">
        <v>209</v>
      </c>
      <c r="E54" s="43">
        <v>0.47</v>
      </c>
      <c r="F54" s="43"/>
      <c r="G54" s="43"/>
      <c r="H54" s="43"/>
      <c r="I54" s="43"/>
      <c r="J54" s="43"/>
      <c r="K54" s="43"/>
      <c r="L54" s="43"/>
      <c r="M54" s="43"/>
      <c r="N54" s="43"/>
      <c r="O54" s="43"/>
      <c r="P54" s="43"/>
      <c r="Q54" s="43"/>
      <c r="R54" s="43"/>
      <c r="S54" s="43"/>
    </row>
    <row r="55" spans="1:19" x14ac:dyDescent="0.3">
      <c r="A55" s="1" t="s">
        <v>210</v>
      </c>
      <c r="B55" s="44" t="s">
        <v>209</v>
      </c>
      <c r="E55" s="43">
        <v>0.25</v>
      </c>
      <c r="F55" s="43"/>
      <c r="G55" s="43"/>
      <c r="H55" s="43"/>
      <c r="I55" s="43"/>
      <c r="J55" s="43"/>
      <c r="K55" s="43"/>
      <c r="L55" s="43"/>
      <c r="M55" s="43"/>
      <c r="N55" s="43"/>
      <c r="O55" s="43"/>
      <c r="P55" s="43"/>
      <c r="Q55" s="43"/>
      <c r="R55" s="43"/>
      <c r="S55" s="43"/>
    </row>
    <row r="56" spans="1:19" x14ac:dyDescent="0.3">
      <c r="A56" s="1" t="s">
        <v>211</v>
      </c>
      <c r="B56" s="44" t="s">
        <v>212</v>
      </c>
      <c r="E56" s="43">
        <v>0.2</v>
      </c>
      <c r="F56" s="43"/>
      <c r="G56" s="43"/>
      <c r="H56" s="43"/>
      <c r="I56" s="43"/>
      <c r="J56" s="43"/>
      <c r="K56" s="43"/>
      <c r="L56" s="43"/>
      <c r="M56" s="43"/>
      <c r="N56" s="43"/>
      <c r="O56" s="43"/>
      <c r="P56" s="43"/>
      <c r="Q56" s="43"/>
      <c r="R56" s="43"/>
      <c r="S56" s="43"/>
    </row>
    <row r="57" spans="1:19" x14ac:dyDescent="0.3">
      <c r="A57" s="1" t="s">
        <v>213</v>
      </c>
      <c r="B57" s="44" t="s">
        <v>214</v>
      </c>
      <c r="E57" s="43"/>
      <c r="F57" s="43">
        <v>1.1000000000000001</v>
      </c>
      <c r="G57" s="43">
        <v>0.6</v>
      </c>
      <c r="H57" s="43">
        <v>0.4</v>
      </c>
      <c r="I57" s="43">
        <v>0.3</v>
      </c>
      <c r="J57" s="43">
        <v>0.24</v>
      </c>
      <c r="K57" s="43">
        <v>0.19</v>
      </c>
      <c r="L57" s="43">
        <v>0.15</v>
      </c>
      <c r="M57" s="43">
        <v>0.12</v>
      </c>
      <c r="N57" s="43">
        <v>0.1</v>
      </c>
      <c r="O57" s="43">
        <v>8.5000000000000006E-2</v>
      </c>
      <c r="P57" s="43">
        <v>7.0000000000000007E-2</v>
      </c>
      <c r="Q57" s="43">
        <v>0.06</v>
      </c>
      <c r="R57" s="43">
        <v>0.05</v>
      </c>
      <c r="S57" s="43">
        <v>0.04</v>
      </c>
    </row>
    <row r="58" spans="1:19" x14ac:dyDescent="0.3">
      <c r="A58" s="1" t="s">
        <v>215</v>
      </c>
      <c r="B58" s="44" t="s">
        <v>214</v>
      </c>
      <c r="E58" s="43"/>
      <c r="F58" s="43">
        <v>1</v>
      </c>
      <c r="G58" s="43">
        <v>0.55000000000000004</v>
      </c>
      <c r="H58" s="43">
        <v>0.38</v>
      </c>
      <c r="I58" s="43">
        <v>0.28000000000000003</v>
      </c>
      <c r="J58" s="43">
        <v>0.22</v>
      </c>
      <c r="K58" s="43">
        <v>0.17</v>
      </c>
      <c r="L58" s="43">
        <v>0.13</v>
      </c>
      <c r="M58" s="43">
        <v>0.11</v>
      </c>
      <c r="N58" s="43">
        <v>0.09</v>
      </c>
      <c r="O58" s="43">
        <v>7.4999999999999997E-2</v>
      </c>
      <c r="P58" s="43">
        <v>6.5000000000000002E-2</v>
      </c>
      <c r="Q58" s="43">
        <v>5.5E-2</v>
      </c>
      <c r="R58" s="43">
        <v>4.4999999999999998E-2</v>
      </c>
      <c r="S58" s="43">
        <v>0.04</v>
      </c>
    </row>
    <row r="59" spans="1:19" x14ac:dyDescent="0.3">
      <c r="A59" s="1" t="s">
        <v>180</v>
      </c>
      <c r="B59" s="44" t="s">
        <v>212</v>
      </c>
      <c r="E59" s="43">
        <v>0.28000000000000003</v>
      </c>
      <c r="F59" s="43">
        <v>0.28999999999999998</v>
      </c>
      <c r="G59" s="43">
        <v>0.3</v>
      </c>
      <c r="H59" s="43">
        <v>0.31</v>
      </c>
      <c r="I59" s="43">
        <v>0.32</v>
      </c>
      <c r="J59" s="43">
        <v>0.33</v>
      </c>
      <c r="K59" s="43">
        <v>0.34</v>
      </c>
      <c r="L59" s="43">
        <v>0.35</v>
      </c>
      <c r="M59" s="43">
        <v>0.36</v>
      </c>
      <c r="N59" s="43">
        <v>0.37</v>
      </c>
      <c r="O59" s="43">
        <v>0.38</v>
      </c>
      <c r="P59" s="43">
        <v>0.39</v>
      </c>
      <c r="Q59" s="43">
        <v>0.4</v>
      </c>
      <c r="R59" s="43">
        <v>0.4</v>
      </c>
      <c r="S59" s="43">
        <v>0.4</v>
      </c>
    </row>
    <row r="60" spans="1:19" x14ac:dyDescent="0.3">
      <c r="A60" s="1" t="s">
        <v>216</v>
      </c>
      <c r="B60" s="44" t="s">
        <v>214</v>
      </c>
      <c r="E60" s="43">
        <v>9</v>
      </c>
      <c r="F60" s="43">
        <v>1</v>
      </c>
      <c r="G60" s="43">
        <v>0.6</v>
      </c>
      <c r="H60" s="43">
        <v>0.4</v>
      </c>
      <c r="I60" s="43">
        <v>0.3</v>
      </c>
      <c r="J60" s="43">
        <v>0.22</v>
      </c>
      <c r="K60" s="43">
        <v>0.17</v>
      </c>
      <c r="L60" s="43">
        <v>0.13</v>
      </c>
      <c r="M60" s="43">
        <v>0.1</v>
      </c>
      <c r="N60" s="43">
        <v>0.08</v>
      </c>
      <c r="O60" s="43">
        <v>0.06</v>
      </c>
      <c r="P60" s="43">
        <v>0.05</v>
      </c>
      <c r="Q60" s="43">
        <v>0.04</v>
      </c>
      <c r="R60" s="43">
        <v>3.5000000000000003E-2</v>
      </c>
      <c r="S60" s="43">
        <v>0.03</v>
      </c>
    </row>
    <row r="61" spans="1:19" x14ac:dyDescent="0.3">
      <c r="A61" s="1" t="s">
        <v>217</v>
      </c>
      <c r="B61" s="44" t="s">
        <v>212</v>
      </c>
      <c r="E61" s="43">
        <v>0.78</v>
      </c>
      <c r="F61" s="43">
        <v>0.79</v>
      </c>
      <c r="G61" s="43">
        <v>0.8</v>
      </c>
      <c r="H61" s="43">
        <v>0.81</v>
      </c>
      <c r="I61" s="43">
        <v>0.82</v>
      </c>
      <c r="J61" s="43">
        <v>0.83</v>
      </c>
      <c r="K61" s="43">
        <v>0.84</v>
      </c>
      <c r="L61" s="43">
        <v>0.85</v>
      </c>
      <c r="M61" s="43">
        <v>0.85</v>
      </c>
      <c r="N61" s="43">
        <v>0.85</v>
      </c>
      <c r="O61" s="43">
        <v>0.85</v>
      </c>
      <c r="P61" s="43">
        <v>0.85</v>
      </c>
      <c r="Q61" s="43">
        <v>0.85</v>
      </c>
      <c r="R61" s="43">
        <v>0.85</v>
      </c>
      <c r="S61" s="43">
        <v>0.85</v>
      </c>
    </row>
    <row r="62" spans="1:19" x14ac:dyDescent="0.3">
      <c r="A62" s="1" t="s">
        <v>218</v>
      </c>
      <c r="B62" s="44" t="s">
        <v>212</v>
      </c>
      <c r="E62" s="43">
        <v>0.3</v>
      </c>
      <c r="F62" s="43">
        <v>0.28499999999999998</v>
      </c>
      <c r="G62" s="43">
        <v>0.27</v>
      </c>
      <c r="H62" s="43">
        <v>0.255</v>
      </c>
      <c r="I62" s="43">
        <v>0.24</v>
      </c>
      <c r="J62" s="43">
        <v>0.23</v>
      </c>
      <c r="K62" s="43">
        <v>0.22</v>
      </c>
      <c r="L62" s="43">
        <v>0.215</v>
      </c>
      <c r="M62" s="43">
        <v>0.21</v>
      </c>
      <c r="N62" s="43">
        <v>0.20499999999999999</v>
      </c>
      <c r="O62" s="43">
        <v>0.2</v>
      </c>
      <c r="P62" s="43">
        <v>0.2</v>
      </c>
      <c r="Q62" s="43">
        <v>0.2</v>
      </c>
      <c r="R62" s="43">
        <v>0.2</v>
      </c>
      <c r="S62" s="43">
        <v>0.2</v>
      </c>
    </row>
    <row r="63" spans="1:19" x14ac:dyDescent="0.3">
      <c r="A63" s="1" t="s">
        <v>219</v>
      </c>
      <c r="B63" s="44" t="s">
        <v>212</v>
      </c>
      <c r="E63" s="43">
        <v>0.25</v>
      </c>
      <c r="F63" s="43">
        <v>0.22</v>
      </c>
      <c r="G63" s="43">
        <v>0.19500000000000001</v>
      </c>
      <c r="H63" s="43">
        <v>0.17499999999999999</v>
      </c>
      <c r="I63" s="43">
        <v>0.16</v>
      </c>
      <c r="J63" s="43">
        <v>0.15</v>
      </c>
      <c r="K63" s="43">
        <v>0.14000000000000001</v>
      </c>
      <c r="L63" s="43">
        <v>0.13</v>
      </c>
      <c r="M63" s="43">
        <v>0.125</v>
      </c>
      <c r="N63" s="43">
        <v>0.12</v>
      </c>
      <c r="O63" s="43">
        <v>0.115</v>
      </c>
      <c r="P63" s="43">
        <v>0.11</v>
      </c>
      <c r="Q63" s="43">
        <v>0.11</v>
      </c>
      <c r="R63" s="43">
        <v>0.11</v>
      </c>
      <c r="S63" s="43">
        <v>0.11</v>
      </c>
    </row>
    <row r="64" spans="1:19" x14ac:dyDescent="0.3">
      <c r="A64" s="1" t="s">
        <v>220</v>
      </c>
      <c r="B64" s="44" t="s">
        <v>221</v>
      </c>
      <c r="E64" s="45">
        <v>12000</v>
      </c>
      <c r="F64" s="45">
        <v>11760</v>
      </c>
      <c r="G64" s="45">
        <v>11524.8</v>
      </c>
      <c r="H64" s="45">
        <v>11294.3</v>
      </c>
      <c r="I64" s="45">
        <v>11068.4</v>
      </c>
      <c r="J64" s="45">
        <v>10847</v>
      </c>
      <c r="K64" s="45">
        <v>10630.1</v>
      </c>
      <c r="L64" s="45">
        <v>10417.5</v>
      </c>
      <c r="M64" s="45">
        <v>10209.200000000001</v>
      </c>
      <c r="N64" s="45">
        <v>10005</v>
      </c>
      <c r="O64" s="45">
        <v>9804.9</v>
      </c>
      <c r="P64" s="45">
        <v>9608.7999999999993</v>
      </c>
      <c r="Q64" s="45">
        <v>9416.6</v>
      </c>
      <c r="R64" s="45">
        <v>9228.2999999999993</v>
      </c>
      <c r="S64" s="45">
        <v>9043.7000000000007</v>
      </c>
    </row>
    <row r="65" spans="1:19" x14ac:dyDescent="0.3">
      <c r="A65" s="1" t="s">
        <v>222</v>
      </c>
      <c r="B65" s="44" t="s">
        <v>223</v>
      </c>
      <c r="E65" s="39">
        <v>650</v>
      </c>
      <c r="F65" s="39">
        <v>630.5</v>
      </c>
      <c r="G65" s="39">
        <v>611.6</v>
      </c>
      <c r="H65" s="39">
        <v>593.20000000000005</v>
      </c>
      <c r="I65" s="39">
        <v>575.4</v>
      </c>
      <c r="J65" s="39">
        <v>558.20000000000005</v>
      </c>
      <c r="K65" s="39">
        <v>541.4</v>
      </c>
      <c r="L65" s="39">
        <v>525.20000000000005</v>
      </c>
      <c r="M65" s="39">
        <v>509.4</v>
      </c>
      <c r="N65" s="39">
        <v>494.2</v>
      </c>
      <c r="O65" s="39">
        <v>479.3</v>
      </c>
      <c r="P65" s="39">
        <v>464.9</v>
      </c>
      <c r="Q65" s="39">
        <v>451</v>
      </c>
      <c r="R65" s="39">
        <v>437.5</v>
      </c>
      <c r="S65" s="39">
        <v>424.3</v>
      </c>
    </row>
    <row r="66" spans="1:19" x14ac:dyDescent="0.3">
      <c r="A66" s="1" t="s">
        <v>224</v>
      </c>
      <c r="B66" s="44" t="s">
        <v>225</v>
      </c>
      <c r="E66" s="43">
        <v>0.1</v>
      </c>
      <c r="F66" s="43">
        <v>0.2</v>
      </c>
      <c r="G66" s="43">
        <v>0.3</v>
      </c>
      <c r="H66" s="43">
        <v>0.35</v>
      </c>
      <c r="I66" s="43">
        <v>0.4</v>
      </c>
      <c r="J66" s="43">
        <v>0.4</v>
      </c>
      <c r="K66" s="43">
        <v>0.4</v>
      </c>
      <c r="L66" s="43">
        <v>0.4</v>
      </c>
      <c r="M66" s="43">
        <v>0.4</v>
      </c>
      <c r="N66" s="43">
        <v>0.4</v>
      </c>
      <c r="O66" s="43">
        <v>0.4</v>
      </c>
      <c r="P66" s="43">
        <v>0.4</v>
      </c>
      <c r="Q66" s="43">
        <v>0.4</v>
      </c>
      <c r="R66" s="43">
        <v>0.4</v>
      </c>
      <c r="S66" s="43">
        <v>0.4</v>
      </c>
    </row>
    <row r="67" spans="1:19" x14ac:dyDescent="0.3">
      <c r="A67" s="1" t="s">
        <v>226</v>
      </c>
      <c r="B67" s="44" t="s">
        <v>227</v>
      </c>
      <c r="E67" s="45">
        <v>40000</v>
      </c>
      <c r="F67" s="45">
        <v>38400</v>
      </c>
      <c r="G67" s="45">
        <v>36864</v>
      </c>
      <c r="H67" s="45">
        <v>35389.4</v>
      </c>
      <c r="I67" s="45">
        <v>33973.9</v>
      </c>
      <c r="J67" s="45">
        <v>32614.9</v>
      </c>
      <c r="K67" s="45">
        <v>31310.3</v>
      </c>
      <c r="L67" s="45">
        <v>30057.9</v>
      </c>
      <c r="M67" s="45">
        <v>28855.599999999999</v>
      </c>
      <c r="N67" s="45">
        <v>27701.4</v>
      </c>
      <c r="O67" s="45">
        <v>26593.3</v>
      </c>
      <c r="P67" s="45">
        <v>25529.599999999999</v>
      </c>
      <c r="Q67" s="45">
        <v>24508.400000000001</v>
      </c>
      <c r="R67" s="45">
        <v>23528.1</v>
      </c>
      <c r="S67" s="45">
        <v>22586.9</v>
      </c>
    </row>
    <row r="68" spans="1:19" x14ac:dyDescent="0.3">
      <c r="A68" s="1" t="s">
        <v>228</v>
      </c>
      <c r="B68" s="44" t="s">
        <v>221</v>
      </c>
      <c r="E68" s="45">
        <v>2000</v>
      </c>
      <c r="F68" s="45">
        <v>2040</v>
      </c>
      <c r="G68" s="45">
        <v>2080.8000000000002</v>
      </c>
      <c r="H68" s="45">
        <v>2122.4</v>
      </c>
      <c r="I68" s="45">
        <v>2164.9</v>
      </c>
      <c r="J68" s="45">
        <v>2208.1999999999998</v>
      </c>
      <c r="K68" s="45">
        <v>2252.3000000000002</v>
      </c>
      <c r="L68" s="45">
        <v>2297.4</v>
      </c>
      <c r="M68" s="45">
        <v>2343.3000000000002</v>
      </c>
      <c r="N68" s="45">
        <v>2390.1999999999998</v>
      </c>
      <c r="O68" s="45">
        <v>2438</v>
      </c>
      <c r="P68" s="45">
        <v>2486.6999999999998</v>
      </c>
      <c r="Q68" s="45">
        <v>2536.5</v>
      </c>
      <c r="R68" s="45">
        <v>2587.1999999999998</v>
      </c>
      <c r="S68" s="45">
        <v>2639</v>
      </c>
    </row>
    <row r="69" spans="1:19" x14ac:dyDescent="0.3">
      <c r="A69" s="1" t="s">
        <v>229</v>
      </c>
      <c r="B69" s="44" t="s">
        <v>230</v>
      </c>
      <c r="E69" s="46">
        <v>5</v>
      </c>
      <c r="F69" s="46"/>
      <c r="G69" s="46"/>
      <c r="H69" s="46"/>
      <c r="I69" s="46"/>
      <c r="J69" s="46"/>
      <c r="K69" s="46"/>
      <c r="L69" s="46"/>
      <c r="M69" s="46"/>
      <c r="N69" s="46"/>
      <c r="O69" s="46"/>
      <c r="P69" s="46"/>
      <c r="Q69" s="46"/>
      <c r="R69" s="46"/>
      <c r="S69" s="46"/>
    </row>
    <row r="70" spans="1:19" x14ac:dyDescent="0.3">
      <c r="A70" s="1" t="s">
        <v>231</v>
      </c>
      <c r="B70" s="44" t="s">
        <v>232</v>
      </c>
      <c r="E70" s="39">
        <v>6000</v>
      </c>
      <c r="F70" s="39"/>
      <c r="G70" s="39"/>
      <c r="H70" s="39"/>
      <c r="I70" s="39"/>
      <c r="J70" s="39"/>
      <c r="K70" s="39"/>
      <c r="L70" s="39"/>
      <c r="M70" s="39"/>
      <c r="N70" s="39"/>
      <c r="O70" s="39"/>
      <c r="P70" s="39"/>
      <c r="Q70" s="39"/>
      <c r="R70" s="39"/>
      <c r="S70" s="39"/>
    </row>
    <row r="71" spans="1:19" x14ac:dyDescent="0.3">
      <c r="A71" s="1" t="s">
        <v>233</v>
      </c>
      <c r="B71" s="44" t="s">
        <v>214</v>
      </c>
      <c r="E71" s="43"/>
      <c r="F71" s="43">
        <v>0.35</v>
      </c>
      <c r="G71" s="43">
        <v>0.28000000000000003</v>
      </c>
      <c r="H71" s="43">
        <v>0.22</v>
      </c>
      <c r="I71" s="43">
        <v>0.18</v>
      </c>
      <c r="J71" s="43">
        <v>0.15</v>
      </c>
      <c r="K71" s="43">
        <v>0.12</v>
      </c>
      <c r="L71" s="43">
        <v>0.1</v>
      </c>
      <c r="M71" s="43">
        <v>0.08</v>
      </c>
      <c r="N71" s="43">
        <v>7.0000000000000007E-2</v>
      </c>
      <c r="O71" s="43">
        <v>0.06</v>
      </c>
      <c r="P71" s="43">
        <v>0.05</v>
      </c>
      <c r="Q71" s="43">
        <v>4.4999999999999998E-2</v>
      </c>
      <c r="R71" s="43">
        <v>0.04</v>
      </c>
      <c r="S71" s="43">
        <v>3.5000000000000003E-2</v>
      </c>
    </row>
    <row r="72" spans="1:19" x14ac:dyDescent="0.3">
      <c r="A72" s="1" t="s">
        <v>234</v>
      </c>
      <c r="B72" s="44" t="s">
        <v>235</v>
      </c>
      <c r="E72" s="47">
        <v>1.5</v>
      </c>
      <c r="F72" s="47"/>
      <c r="G72" s="47"/>
      <c r="H72" s="47"/>
      <c r="I72" s="47"/>
      <c r="J72" s="47"/>
      <c r="K72" s="47"/>
      <c r="L72" s="47"/>
      <c r="M72" s="47"/>
      <c r="N72" s="47"/>
      <c r="O72" s="47"/>
      <c r="P72" s="47"/>
      <c r="Q72" s="47"/>
      <c r="R72" s="47"/>
      <c r="S72" s="47"/>
    </row>
    <row r="73" spans="1:19" x14ac:dyDescent="0.3">
      <c r="A73" s="1" t="s">
        <v>236</v>
      </c>
      <c r="B73" s="44" t="s">
        <v>214</v>
      </c>
      <c r="E73" s="43"/>
      <c r="F73" s="43">
        <v>0.05</v>
      </c>
      <c r="G73" s="43">
        <v>0.05</v>
      </c>
      <c r="H73" s="43">
        <v>0.05</v>
      </c>
      <c r="I73" s="43">
        <v>0.05</v>
      </c>
      <c r="J73" s="43">
        <v>0.04</v>
      </c>
      <c r="K73" s="43">
        <v>0.04</v>
      </c>
      <c r="L73" s="43">
        <v>0.04</v>
      </c>
      <c r="M73" s="43">
        <v>0.04</v>
      </c>
      <c r="N73" s="43">
        <v>0.04</v>
      </c>
      <c r="O73" s="43">
        <v>0.04</v>
      </c>
      <c r="P73" s="43">
        <v>0.04</v>
      </c>
      <c r="Q73" s="43">
        <v>0.04</v>
      </c>
      <c r="R73" s="43">
        <v>0.04</v>
      </c>
      <c r="S73" s="43">
        <v>0.04</v>
      </c>
    </row>
    <row r="74" spans="1:19" x14ac:dyDescent="0.3">
      <c r="A74" s="1" t="s">
        <v>187</v>
      </c>
      <c r="B74" s="44" t="s">
        <v>237</v>
      </c>
      <c r="E74" s="43">
        <v>0.65</v>
      </c>
      <c r="F74" s="43">
        <v>0.6</v>
      </c>
      <c r="G74" s="43">
        <v>0.55000000000000004</v>
      </c>
      <c r="H74" s="43">
        <v>0.5</v>
      </c>
      <c r="I74" s="43">
        <v>0.46</v>
      </c>
      <c r="J74" s="43">
        <v>0.42</v>
      </c>
      <c r="K74" s="43">
        <v>0.4</v>
      </c>
      <c r="L74" s="43">
        <v>0.38</v>
      </c>
      <c r="M74" s="43">
        <v>0.36</v>
      </c>
      <c r="N74" s="43">
        <v>0.35</v>
      </c>
      <c r="O74" s="43">
        <v>0.34</v>
      </c>
      <c r="P74" s="43">
        <v>0.33</v>
      </c>
      <c r="Q74" s="43">
        <v>0.32</v>
      </c>
      <c r="R74" s="43">
        <v>0.31</v>
      </c>
      <c r="S74" s="43">
        <v>0.3</v>
      </c>
    </row>
    <row r="75" spans="1:19" x14ac:dyDescent="0.3">
      <c r="A75" s="1" t="s">
        <v>183</v>
      </c>
      <c r="B75" s="44" t="s">
        <v>212</v>
      </c>
      <c r="E75" s="43">
        <v>0.19</v>
      </c>
      <c r="F75" s="43">
        <v>0.17</v>
      </c>
      <c r="G75" s="43">
        <v>0.155</v>
      </c>
      <c r="H75" s="43">
        <v>0.14499999999999999</v>
      </c>
      <c r="I75" s="43">
        <v>0.13500000000000001</v>
      </c>
      <c r="J75" s="43">
        <v>0.125</v>
      </c>
      <c r="K75" s="43">
        <v>0.12</v>
      </c>
      <c r="L75" s="43">
        <v>0.115</v>
      </c>
      <c r="M75" s="43">
        <v>0.11</v>
      </c>
      <c r="N75" s="43">
        <v>0.11</v>
      </c>
      <c r="O75" s="43">
        <v>0.11</v>
      </c>
      <c r="P75" s="43">
        <v>0.11</v>
      </c>
      <c r="Q75" s="43">
        <v>0.11</v>
      </c>
      <c r="R75" s="43">
        <v>0.11</v>
      </c>
      <c r="S75" s="43">
        <v>0.11</v>
      </c>
    </row>
    <row r="76" spans="1:19" x14ac:dyDescent="0.3">
      <c r="A76" s="1" t="s">
        <v>238</v>
      </c>
      <c r="B76" s="44" t="s">
        <v>212</v>
      </c>
      <c r="E76" s="43">
        <v>0.1</v>
      </c>
      <c r="F76" s="43">
        <v>0.09</v>
      </c>
      <c r="G76" s="43">
        <v>0.08</v>
      </c>
      <c r="H76" s="43">
        <v>7.4999999999999997E-2</v>
      </c>
      <c r="I76" s="43">
        <v>7.0000000000000007E-2</v>
      </c>
      <c r="J76" s="43">
        <v>6.5000000000000002E-2</v>
      </c>
      <c r="K76" s="43">
        <v>0.06</v>
      </c>
      <c r="L76" s="43">
        <v>0.06</v>
      </c>
      <c r="M76" s="43">
        <v>5.5E-2</v>
      </c>
      <c r="N76" s="43">
        <v>5.5E-2</v>
      </c>
      <c r="O76" s="43">
        <v>5.5E-2</v>
      </c>
      <c r="P76" s="43">
        <v>5.5E-2</v>
      </c>
      <c r="Q76" s="43">
        <v>5.5E-2</v>
      </c>
      <c r="R76" s="43">
        <v>5.5E-2</v>
      </c>
      <c r="S76" s="43">
        <v>5.5E-2</v>
      </c>
    </row>
    <row r="77" spans="1:19" x14ac:dyDescent="0.3">
      <c r="A77" s="1" t="s">
        <v>239</v>
      </c>
      <c r="B77" s="44" t="s">
        <v>212</v>
      </c>
      <c r="E77" s="43">
        <v>0.01</v>
      </c>
      <c r="F77" s="43">
        <v>0.01</v>
      </c>
      <c r="G77" s="43">
        <v>0.01</v>
      </c>
      <c r="H77" s="43">
        <v>0.01</v>
      </c>
      <c r="I77" s="43">
        <v>0.01</v>
      </c>
      <c r="J77" s="43">
        <v>0.01</v>
      </c>
      <c r="K77" s="43">
        <v>0.01</v>
      </c>
      <c r="L77" s="43">
        <v>0.01</v>
      </c>
      <c r="M77" s="43">
        <v>0.01</v>
      </c>
      <c r="N77" s="43">
        <v>0.01</v>
      </c>
      <c r="O77" s="43">
        <v>0.01</v>
      </c>
      <c r="P77" s="43">
        <v>0.01</v>
      </c>
      <c r="Q77" s="43">
        <v>0.01</v>
      </c>
      <c r="R77" s="43">
        <v>0.01</v>
      </c>
      <c r="S77" s="43">
        <v>0.01</v>
      </c>
    </row>
    <row r="78" spans="1:19" x14ac:dyDescent="0.3">
      <c r="A78" s="1" t="s">
        <v>240</v>
      </c>
      <c r="B78" s="44" t="s">
        <v>212</v>
      </c>
      <c r="E78" s="43">
        <v>5.0000000000000001E-3</v>
      </c>
      <c r="F78" s="43">
        <v>5.0000000000000001E-3</v>
      </c>
      <c r="G78" s="43">
        <v>5.0000000000000001E-3</v>
      </c>
      <c r="H78" s="43">
        <v>5.0000000000000001E-3</v>
      </c>
      <c r="I78" s="43">
        <v>5.0000000000000001E-3</v>
      </c>
      <c r="J78" s="43">
        <v>5.0000000000000001E-3</v>
      </c>
      <c r="K78" s="43">
        <v>5.0000000000000001E-3</v>
      </c>
      <c r="L78" s="43">
        <v>5.0000000000000001E-3</v>
      </c>
      <c r="M78" s="43">
        <v>5.0000000000000001E-3</v>
      </c>
      <c r="N78" s="43">
        <v>5.0000000000000001E-3</v>
      </c>
      <c r="O78" s="43">
        <v>5.0000000000000001E-3</v>
      </c>
      <c r="P78" s="43">
        <v>5.0000000000000001E-3</v>
      </c>
      <c r="Q78" s="43">
        <v>5.0000000000000001E-3</v>
      </c>
      <c r="R78" s="43">
        <v>5.0000000000000001E-3</v>
      </c>
      <c r="S78" s="43">
        <v>5.0000000000000001E-3</v>
      </c>
    </row>
    <row r="79" spans="1:19" x14ac:dyDescent="0.3">
      <c r="A79" s="1" t="s">
        <v>241</v>
      </c>
      <c r="B79" s="44" t="s">
        <v>242</v>
      </c>
      <c r="E79" s="43">
        <v>0.03</v>
      </c>
      <c r="F79" s="43">
        <v>0.03</v>
      </c>
      <c r="G79" s="43">
        <v>0.03</v>
      </c>
      <c r="H79" s="43">
        <v>0.03</v>
      </c>
      <c r="I79" s="43">
        <v>0.03</v>
      </c>
      <c r="J79" s="43">
        <v>0.03</v>
      </c>
      <c r="K79" s="43">
        <v>0.03</v>
      </c>
      <c r="L79" s="43">
        <v>0.03</v>
      </c>
      <c r="M79" s="43">
        <v>0.03</v>
      </c>
      <c r="N79" s="43">
        <v>0.03</v>
      </c>
      <c r="O79" s="43">
        <v>0.03</v>
      </c>
      <c r="P79" s="43">
        <v>0.03</v>
      </c>
      <c r="Q79" s="43">
        <v>0.03</v>
      </c>
      <c r="R79" s="43">
        <v>0.03</v>
      </c>
      <c r="S79" s="43">
        <v>0.03</v>
      </c>
    </row>
    <row r="80" spans="1:19" x14ac:dyDescent="0.3">
      <c r="A80" s="1" t="s">
        <v>243</v>
      </c>
      <c r="B80" s="44" t="s">
        <v>244</v>
      </c>
      <c r="E80" s="43">
        <v>3.5000000000000003E-2</v>
      </c>
      <c r="F80" s="43"/>
      <c r="G80" s="43"/>
      <c r="H80" s="43"/>
      <c r="I80" s="43"/>
      <c r="J80" s="43"/>
      <c r="K80" s="43"/>
      <c r="L80" s="43"/>
      <c r="M80" s="43"/>
      <c r="N80" s="43"/>
      <c r="O80" s="43"/>
      <c r="P80" s="43"/>
      <c r="Q80" s="43"/>
      <c r="R80" s="43"/>
      <c r="S80" s="43"/>
    </row>
    <row r="81" spans="1:19" x14ac:dyDescent="0.3">
      <c r="A81" s="1" t="s">
        <v>245</v>
      </c>
      <c r="B81" s="44" t="s">
        <v>246</v>
      </c>
      <c r="E81" s="48">
        <v>14</v>
      </c>
      <c r="F81" s="48"/>
      <c r="G81" s="48"/>
      <c r="H81" s="48"/>
      <c r="I81" s="48"/>
      <c r="J81" s="48"/>
      <c r="K81" s="48"/>
      <c r="L81" s="48"/>
      <c r="M81" s="48"/>
      <c r="N81" s="48"/>
      <c r="O81" s="48"/>
      <c r="P81" s="48"/>
      <c r="Q81" s="48"/>
      <c r="R81" s="48"/>
      <c r="S81" s="48"/>
    </row>
    <row r="82" spans="1:19" x14ac:dyDescent="0.3">
      <c r="A82" s="1" t="s">
        <v>247</v>
      </c>
      <c r="B82" s="44" t="s">
        <v>244</v>
      </c>
      <c r="E82" s="32">
        <v>0.5</v>
      </c>
      <c r="F82" s="32"/>
      <c r="G82" s="32"/>
      <c r="H82" s="32"/>
      <c r="I82" s="32"/>
      <c r="J82" s="32"/>
      <c r="K82" s="32"/>
      <c r="L82" s="32"/>
      <c r="M82" s="32"/>
      <c r="N82" s="32"/>
      <c r="O82" s="32"/>
      <c r="P82" s="32"/>
      <c r="Q82" s="32"/>
      <c r="R82" s="32"/>
      <c r="S82" s="32"/>
    </row>
    <row r="83" spans="1:19" ht="3" customHeight="1" x14ac:dyDescent="0.3"/>
    <row r="84" spans="1:19" x14ac:dyDescent="0.3">
      <c r="A84" s="5" t="s">
        <v>249</v>
      </c>
      <c r="B84" s="5"/>
      <c r="C84" s="5"/>
      <c r="D84" s="5"/>
      <c r="E84" s="5"/>
      <c r="F84" s="5"/>
      <c r="G84" s="5"/>
      <c r="H84" s="5"/>
      <c r="I84" s="5"/>
      <c r="J84" s="5"/>
      <c r="K84" s="5"/>
      <c r="L84" s="5"/>
      <c r="M84" s="5"/>
      <c r="N84" s="5"/>
      <c r="O84" s="5"/>
      <c r="P84" s="5"/>
      <c r="Q84" s="5"/>
      <c r="R84" s="5"/>
      <c r="S84" s="5"/>
    </row>
    <row r="85" spans="1:19" x14ac:dyDescent="0.3">
      <c r="A85" s="1" t="s">
        <v>208</v>
      </c>
      <c r="B85" s="44" t="s">
        <v>209</v>
      </c>
      <c r="E85" s="43">
        <v>0.52</v>
      </c>
      <c r="F85" s="43"/>
      <c r="G85" s="43"/>
      <c r="H85" s="43"/>
      <c r="I85" s="43"/>
      <c r="J85" s="43"/>
      <c r="K85" s="43"/>
      <c r="L85" s="43"/>
      <c r="M85" s="43"/>
      <c r="N85" s="43"/>
      <c r="O85" s="43"/>
      <c r="P85" s="43"/>
      <c r="Q85" s="43"/>
      <c r="R85" s="43"/>
      <c r="S85" s="43"/>
    </row>
    <row r="86" spans="1:19" x14ac:dyDescent="0.3">
      <c r="A86" s="1" t="s">
        <v>210</v>
      </c>
      <c r="B86" s="44" t="s">
        <v>209</v>
      </c>
      <c r="E86" s="43">
        <v>0.35</v>
      </c>
      <c r="F86" s="43"/>
      <c r="G86" s="43"/>
      <c r="H86" s="43"/>
      <c r="I86" s="43"/>
      <c r="J86" s="43"/>
      <c r="K86" s="43"/>
      <c r="L86" s="43"/>
      <c r="M86" s="43"/>
      <c r="N86" s="43"/>
      <c r="O86" s="43"/>
      <c r="P86" s="43"/>
      <c r="Q86" s="43"/>
      <c r="R86" s="43"/>
      <c r="S86" s="43"/>
    </row>
    <row r="87" spans="1:19" x14ac:dyDescent="0.3">
      <c r="A87" s="1" t="s">
        <v>211</v>
      </c>
      <c r="B87" s="44" t="s">
        <v>212</v>
      </c>
      <c r="E87" s="43">
        <v>0.2</v>
      </c>
      <c r="F87" s="43"/>
      <c r="G87" s="43"/>
      <c r="H87" s="43"/>
      <c r="I87" s="43"/>
      <c r="J87" s="43"/>
      <c r="K87" s="43"/>
      <c r="L87" s="43"/>
      <c r="M87" s="43"/>
      <c r="N87" s="43"/>
      <c r="O87" s="43"/>
      <c r="P87" s="43"/>
      <c r="Q87" s="43"/>
      <c r="R87" s="43"/>
      <c r="S87" s="43"/>
    </row>
    <row r="88" spans="1:19" x14ac:dyDescent="0.3">
      <c r="A88" s="1" t="s">
        <v>213</v>
      </c>
      <c r="B88" s="44" t="s">
        <v>214</v>
      </c>
      <c r="E88" s="43"/>
      <c r="F88" s="43">
        <v>1.5</v>
      </c>
      <c r="G88" s="43">
        <v>0.85</v>
      </c>
      <c r="H88" s="43">
        <v>0.55000000000000004</v>
      </c>
      <c r="I88" s="43">
        <v>0.4</v>
      </c>
      <c r="J88" s="43">
        <v>0.3</v>
      </c>
      <c r="K88" s="43">
        <v>0.24</v>
      </c>
      <c r="L88" s="43">
        <v>0.19</v>
      </c>
      <c r="M88" s="43">
        <v>0.15</v>
      </c>
      <c r="N88" s="43">
        <v>0.12</v>
      </c>
      <c r="O88" s="43">
        <v>0.1</v>
      </c>
      <c r="P88" s="43">
        <v>8.5000000000000006E-2</v>
      </c>
      <c r="Q88" s="43">
        <v>7.0000000000000007E-2</v>
      </c>
      <c r="R88" s="43">
        <v>0.06</v>
      </c>
      <c r="S88" s="43">
        <v>0.05</v>
      </c>
    </row>
    <row r="89" spans="1:19" x14ac:dyDescent="0.3">
      <c r="A89" s="1" t="s">
        <v>215</v>
      </c>
      <c r="B89" s="44" t="s">
        <v>214</v>
      </c>
      <c r="E89" s="43"/>
      <c r="F89" s="43">
        <v>1.4</v>
      </c>
      <c r="G89" s="43">
        <v>0.8</v>
      </c>
      <c r="H89" s="43">
        <v>0.5</v>
      </c>
      <c r="I89" s="43">
        <v>0.36</v>
      </c>
      <c r="J89" s="43">
        <v>0.28000000000000003</v>
      </c>
      <c r="K89" s="43">
        <v>0.22</v>
      </c>
      <c r="L89" s="43">
        <v>0.17</v>
      </c>
      <c r="M89" s="43">
        <v>0.14000000000000001</v>
      </c>
      <c r="N89" s="43">
        <v>0.11</v>
      </c>
      <c r="O89" s="43">
        <v>0.09</v>
      </c>
      <c r="P89" s="43">
        <v>0.08</v>
      </c>
      <c r="Q89" s="43">
        <v>6.5000000000000002E-2</v>
      </c>
      <c r="R89" s="43">
        <v>5.5E-2</v>
      </c>
      <c r="S89" s="43">
        <v>0.05</v>
      </c>
    </row>
    <row r="90" spans="1:19" x14ac:dyDescent="0.3">
      <c r="A90" s="1" t="s">
        <v>180</v>
      </c>
      <c r="B90" s="44" t="s">
        <v>212</v>
      </c>
      <c r="E90" s="43">
        <v>0.28999999999999998</v>
      </c>
      <c r="F90" s="43">
        <v>0.3</v>
      </c>
      <c r="G90" s="43">
        <v>0.31</v>
      </c>
      <c r="H90" s="43">
        <v>0.32</v>
      </c>
      <c r="I90" s="43">
        <v>0.33</v>
      </c>
      <c r="J90" s="43">
        <v>0.34</v>
      </c>
      <c r="K90" s="43">
        <v>0.35</v>
      </c>
      <c r="L90" s="43">
        <v>0.36</v>
      </c>
      <c r="M90" s="43">
        <v>0.37</v>
      </c>
      <c r="N90" s="43">
        <v>0.38</v>
      </c>
      <c r="O90" s="43">
        <v>0.39</v>
      </c>
      <c r="P90" s="43">
        <v>0.4</v>
      </c>
      <c r="Q90" s="43">
        <v>0.41</v>
      </c>
      <c r="R90" s="43">
        <v>0.42</v>
      </c>
      <c r="S90" s="43">
        <v>0.42</v>
      </c>
    </row>
    <row r="91" spans="1:19" x14ac:dyDescent="0.3">
      <c r="A91" s="1" t="s">
        <v>216</v>
      </c>
      <c r="B91" s="44" t="s">
        <v>214</v>
      </c>
      <c r="E91" s="43">
        <v>10</v>
      </c>
      <c r="F91" s="43">
        <v>1.3</v>
      </c>
      <c r="G91" s="43">
        <v>0.8</v>
      </c>
      <c r="H91" s="43">
        <v>0.5</v>
      </c>
      <c r="I91" s="43">
        <v>0.35</v>
      </c>
      <c r="J91" s="43">
        <v>0.26</v>
      </c>
      <c r="K91" s="43">
        <v>0.2</v>
      </c>
      <c r="L91" s="43">
        <v>0.15</v>
      </c>
      <c r="M91" s="43">
        <v>0.12</v>
      </c>
      <c r="N91" s="43">
        <v>0.09</v>
      </c>
      <c r="O91" s="43">
        <v>7.0000000000000007E-2</v>
      </c>
      <c r="P91" s="43">
        <v>0.06</v>
      </c>
      <c r="Q91" s="43">
        <v>0.05</v>
      </c>
      <c r="R91" s="43">
        <v>0.04</v>
      </c>
      <c r="S91" s="43">
        <v>3.5000000000000003E-2</v>
      </c>
    </row>
    <row r="92" spans="1:19" x14ac:dyDescent="0.3">
      <c r="A92" s="1" t="s">
        <v>217</v>
      </c>
      <c r="B92" s="44" t="s">
        <v>212</v>
      </c>
      <c r="E92" s="43">
        <v>0.79</v>
      </c>
      <c r="F92" s="43">
        <v>0.8</v>
      </c>
      <c r="G92" s="43">
        <v>0.81</v>
      </c>
      <c r="H92" s="43">
        <v>0.82</v>
      </c>
      <c r="I92" s="43">
        <v>0.83</v>
      </c>
      <c r="J92" s="43">
        <v>0.84</v>
      </c>
      <c r="K92" s="43">
        <v>0.85</v>
      </c>
      <c r="L92" s="43">
        <v>0.86</v>
      </c>
      <c r="M92" s="43">
        <v>0.87</v>
      </c>
      <c r="N92" s="43">
        <v>0.88</v>
      </c>
      <c r="O92" s="43">
        <v>0.88</v>
      </c>
      <c r="P92" s="43">
        <v>0.88</v>
      </c>
      <c r="Q92" s="43">
        <v>0.88</v>
      </c>
      <c r="R92" s="43">
        <v>0.88</v>
      </c>
      <c r="S92" s="43">
        <v>0.88</v>
      </c>
    </row>
    <row r="93" spans="1:19" x14ac:dyDescent="0.3">
      <c r="A93" s="1" t="s">
        <v>218</v>
      </c>
      <c r="B93" s="44" t="s">
        <v>212</v>
      </c>
      <c r="E93" s="43">
        <v>0.28999999999999998</v>
      </c>
      <c r="F93" s="43">
        <v>0.26500000000000001</v>
      </c>
      <c r="G93" s="43">
        <v>0.25</v>
      </c>
      <c r="H93" s="43">
        <v>0.23499999999999999</v>
      </c>
      <c r="I93" s="43">
        <v>0.22</v>
      </c>
      <c r="J93" s="43">
        <v>0.21</v>
      </c>
      <c r="K93" s="43">
        <v>0.2</v>
      </c>
      <c r="L93" s="43">
        <v>0.19500000000000001</v>
      </c>
      <c r="M93" s="43">
        <v>0.19</v>
      </c>
      <c r="N93" s="43">
        <v>0.185</v>
      </c>
      <c r="O93" s="43">
        <v>0.18</v>
      </c>
      <c r="P93" s="43">
        <v>0.18</v>
      </c>
      <c r="Q93" s="43">
        <v>0.18</v>
      </c>
      <c r="R93" s="43">
        <v>0.18</v>
      </c>
      <c r="S93" s="43">
        <v>0.18</v>
      </c>
    </row>
    <row r="94" spans="1:19" x14ac:dyDescent="0.3">
      <c r="A94" s="1" t="s">
        <v>219</v>
      </c>
      <c r="B94" s="44" t="s">
        <v>212</v>
      </c>
      <c r="E94" s="43">
        <v>0.24</v>
      </c>
      <c r="F94" s="43">
        <v>0.2</v>
      </c>
      <c r="G94" s="43">
        <v>0.17499999999999999</v>
      </c>
      <c r="H94" s="43">
        <v>0.155</v>
      </c>
      <c r="I94" s="43">
        <v>0.14000000000000001</v>
      </c>
      <c r="J94" s="43">
        <v>0.13</v>
      </c>
      <c r="K94" s="43">
        <v>0.12</v>
      </c>
      <c r="L94" s="43">
        <v>0.11</v>
      </c>
      <c r="M94" s="43">
        <v>0.105</v>
      </c>
      <c r="N94" s="43">
        <v>0.1</v>
      </c>
      <c r="O94" s="43">
        <v>9.5000000000000001E-2</v>
      </c>
      <c r="P94" s="43">
        <v>0.09</v>
      </c>
      <c r="Q94" s="43">
        <v>0.09</v>
      </c>
      <c r="R94" s="43">
        <v>0.09</v>
      </c>
      <c r="S94" s="43">
        <v>0.09</v>
      </c>
    </row>
    <row r="95" spans="1:19" x14ac:dyDescent="0.3">
      <c r="A95" s="1" t="s">
        <v>220</v>
      </c>
      <c r="B95" s="44" t="s">
        <v>221</v>
      </c>
      <c r="E95" s="45">
        <v>12000</v>
      </c>
      <c r="F95" s="45">
        <v>11760</v>
      </c>
      <c r="G95" s="45">
        <v>11524.8</v>
      </c>
      <c r="H95" s="45">
        <v>11294.3</v>
      </c>
      <c r="I95" s="45">
        <v>11068.4</v>
      </c>
      <c r="J95" s="45">
        <v>10847</v>
      </c>
      <c r="K95" s="45">
        <v>10630.1</v>
      </c>
      <c r="L95" s="45">
        <v>10417.5</v>
      </c>
      <c r="M95" s="45">
        <v>10209.200000000001</v>
      </c>
      <c r="N95" s="45">
        <v>10005</v>
      </c>
      <c r="O95" s="45">
        <v>9804.9</v>
      </c>
      <c r="P95" s="45">
        <v>9608.7999999999993</v>
      </c>
      <c r="Q95" s="45">
        <v>9416.6</v>
      </c>
      <c r="R95" s="45">
        <v>9228.2999999999993</v>
      </c>
      <c r="S95" s="45">
        <v>9043.7000000000007</v>
      </c>
    </row>
    <row r="96" spans="1:19" x14ac:dyDescent="0.3">
      <c r="A96" s="1" t="s">
        <v>222</v>
      </c>
      <c r="B96" s="44" t="s">
        <v>223</v>
      </c>
      <c r="E96" s="39">
        <v>650</v>
      </c>
      <c r="F96" s="39">
        <v>630.5</v>
      </c>
      <c r="G96" s="39">
        <v>611.6</v>
      </c>
      <c r="H96" s="39">
        <v>593.20000000000005</v>
      </c>
      <c r="I96" s="39">
        <v>575.4</v>
      </c>
      <c r="J96" s="39">
        <v>558.20000000000005</v>
      </c>
      <c r="K96" s="39">
        <v>541.4</v>
      </c>
      <c r="L96" s="39">
        <v>525.20000000000005</v>
      </c>
      <c r="M96" s="39">
        <v>509.4</v>
      </c>
      <c r="N96" s="39">
        <v>494.2</v>
      </c>
      <c r="O96" s="39">
        <v>479.3</v>
      </c>
      <c r="P96" s="39">
        <v>464.9</v>
      </c>
      <c r="Q96" s="39">
        <v>451</v>
      </c>
      <c r="R96" s="39">
        <v>437.5</v>
      </c>
      <c r="S96" s="39">
        <v>424.3</v>
      </c>
    </row>
    <row r="97" spans="1:19" x14ac:dyDescent="0.3">
      <c r="A97" s="1" t="s">
        <v>224</v>
      </c>
      <c r="B97" s="44" t="s">
        <v>225</v>
      </c>
      <c r="E97" s="43">
        <v>0.1</v>
      </c>
      <c r="F97" s="43">
        <v>0.25</v>
      </c>
      <c r="G97" s="43">
        <v>0.35</v>
      </c>
      <c r="H97" s="43">
        <v>0.45</v>
      </c>
      <c r="I97" s="43">
        <v>0.5</v>
      </c>
      <c r="J97" s="43">
        <v>0.5</v>
      </c>
      <c r="K97" s="43">
        <v>0.5</v>
      </c>
      <c r="L97" s="43">
        <v>0.5</v>
      </c>
      <c r="M97" s="43">
        <v>0.5</v>
      </c>
      <c r="N97" s="43">
        <v>0.5</v>
      </c>
      <c r="O97" s="43">
        <v>0.5</v>
      </c>
      <c r="P97" s="43">
        <v>0.5</v>
      </c>
      <c r="Q97" s="43">
        <v>0.5</v>
      </c>
      <c r="R97" s="43">
        <v>0.5</v>
      </c>
      <c r="S97" s="43">
        <v>0.5</v>
      </c>
    </row>
    <row r="98" spans="1:19" x14ac:dyDescent="0.3">
      <c r="A98" s="1" t="s">
        <v>226</v>
      </c>
      <c r="B98" s="44" t="s">
        <v>227</v>
      </c>
      <c r="E98" s="45">
        <v>40000</v>
      </c>
      <c r="F98" s="45">
        <v>38400</v>
      </c>
      <c r="G98" s="45">
        <v>36864</v>
      </c>
      <c r="H98" s="45">
        <v>35389.4</v>
      </c>
      <c r="I98" s="45">
        <v>33973.9</v>
      </c>
      <c r="J98" s="45">
        <v>32614.9</v>
      </c>
      <c r="K98" s="45">
        <v>31310.3</v>
      </c>
      <c r="L98" s="45">
        <v>30057.9</v>
      </c>
      <c r="M98" s="45">
        <v>28855.599999999999</v>
      </c>
      <c r="N98" s="45">
        <v>27701.4</v>
      </c>
      <c r="O98" s="45">
        <v>26593.3</v>
      </c>
      <c r="P98" s="45">
        <v>25529.599999999999</v>
      </c>
      <c r="Q98" s="45">
        <v>24508.400000000001</v>
      </c>
      <c r="R98" s="45">
        <v>23528.1</v>
      </c>
      <c r="S98" s="45">
        <v>22586.9</v>
      </c>
    </row>
    <row r="99" spans="1:19" x14ac:dyDescent="0.3">
      <c r="A99" s="1" t="s">
        <v>228</v>
      </c>
      <c r="B99" s="44" t="s">
        <v>221</v>
      </c>
      <c r="E99" s="45">
        <v>2000</v>
      </c>
      <c r="F99" s="45">
        <v>2040</v>
      </c>
      <c r="G99" s="45">
        <v>2080.8000000000002</v>
      </c>
      <c r="H99" s="45">
        <v>2122.4</v>
      </c>
      <c r="I99" s="45">
        <v>2164.9</v>
      </c>
      <c r="J99" s="45">
        <v>2208.1999999999998</v>
      </c>
      <c r="K99" s="45">
        <v>2252.3000000000002</v>
      </c>
      <c r="L99" s="45">
        <v>2297.4</v>
      </c>
      <c r="M99" s="45">
        <v>2343.3000000000002</v>
      </c>
      <c r="N99" s="45">
        <v>2390.1999999999998</v>
      </c>
      <c r="O99" s="45">
        <v>2438</v>
      </c>
      <c r="P99" s="45">
        <v>2486.6999999999998</v>
      </c>
      <c r="Q99" s="45">
        <v>2536.5</v>
      </c>
      <c r="R99" s="45">
        <v>2587.1999999999998</v>
      </c>
      <c r="S99" s="45">
        <v>2639</v>
      </c>
    </row>
    <row r="100" spans="1:19" x14ac:dyDescent="0.3">
      <c r="A100" s="1" t="s">
        <v>229</v>
      </c>
      <c r="B100" s="44" t="s">
        <v>230</v>
      </c>
      <c r="E100" s="46">
        <v>5</v>
      </c>
      <c r="F100" s="46"/>
      <c r="G100" s="46"/>
      <c r="H100" s="46"/>
      <c r="I100" s="46"/>
      <c r="J100" s="46"/>
      <c r="K100" s="46"/>
      <c r="L100" s="46"/>
      <c r="M100" s="46"/>
      <c r="N100" s="46"/>
      <c r="O100" s="46"/>
      <c r="P100" s="46"/>
      <c r="Q100" s="46"/>
      <c r="R100" s="46"/>
      <c r="S100" s="46"/>
    </row>
    <row r="101" spans="1:19" x14ac:dyDescent="0.3">
      <c r="A101" s="1" t="s">
        <v>231</v>
      </c>
      <c r="B101" s="44" t="s">
        <v>232</v>
      </c>
      <c r="E101" s="39">
        <v>6000</v>
      </c>
      <c r="F101" s="39"/>
      <c r="G101" s="39"/>
      <c r="H101" s="39"/>
      <c r="I101" s="39"/>
      <c r="J101" s="39"/>
      <c r="K101" s="39"/>
      <c r="L101" s="39"/>
      <c r="M101" s="39"/>
      <c r="N101" s="39"/>
      <c r="O101" s="39"/>
      <c r="P101" s="39"/>
      <c r="Q101" s="39"/>
      <c r="R101" s="39"/>
      <c r="S101" s="39"/>
    </row>
    <row r="102" spans="1:19" x14ac:dyDescent="0.3">
      <c r="A102" s="1" t="s">
        <v>233</v>
      </c>
      <c r="B102" s="44" t="s">
        <v>214</v>
      </c>
      <c r="E102" s="43"/>
      <c r="F102" s="43">
        <v>0.35</v>
      </c>
      <c r="G102" s="43">
        <v>0.28000000000000003</v>
      </c>
      <c r="H102" s="43">
        <v>0.22</v>
      </c>
      <c r="I102" s="43">
        <v>0.18</v>
      </c>
      <c r="J102" s="43">
        <v>0.15</v>
      </c>
      <c r="K102" s="43">
        <v>0.12</v>
      </c>
      <c r="L102" s="43">
        <v>0.1</v>
      </c>
      <c r="M102" s="43">
        <v>0.08</v>
      </c>
      <c r="N102" s="43">
        <v>7.0000000000000007E-2</v>
      </c>
      <c r="O102" s="43">
        <v>0.06</v>
      </c>
      <c r="P102" s="43">
        <v>0.05</v>
      </c>
      <c r="Q102" s="43">
        <v>4.4999999999999998E-2</v>
      </c>
      <c r="R102" s="43">
        <v>0.04</v>
      </c>
      <c r="S102" s="43">
        <v>3.5000000000000003E-2</v>
      </c>
    </row>
    <row r="103" spans="1:19" x14ac:dyDescent="0.3">
      <c r="A103" s="1" t="s">
        <v>234</v>
      </c>
      <c r="B103" s="44" t="s">
        <v>235</v>
      </c>
      <c r="E103" s="47">
        <v>1.5</v>
      </c>
      <c r="F103" s="47"/>
      <c r="G103" s="47"/>
      <c r="H103" s="47"/>
      <c r="I103" s="47"/>
      <c r="J103" s="47"/>
      <c r="K103" s="47"/>
      <c r="L103" s="47"/>
      <c r="M103" s="47"/>
      <c r="N103" s="47"/>
      <c r="O103" s="47"/>
      <c r="P103" s="47"/>
      <c r="Q103" s="47"/>
      <c r="R103" s="47"/>
      <c r="S103" s="47"/>
    </row>
    <row r="104" spans="1:19" x14ac:dyDescent="0.3">
      <c r="A104" s="1" t="s">
        <v>236</v>
      </c>
      <c r="B104" s="44" t="s">
        <v>214</v>
      </c>
      <c r="E104" s="43"/>
      <c r="F104" s="43">
        <v>0.04</v>
      </c>
      <c r="G104" s="43">
        <v>0.04</v>
      </c>
      <c r="H104" s="43">
        <v>0.04</v>
      </c>
      <c r="I104" s="43">
        <v>0.04</v>
      </c>
      <c r="J104" s="43">
        <v>0.04</v>
      </c>
      <c r="K104" s="43">
        <v>0.04</v>
      </c>
      <c r="L104" s="43">
        <v>0.04</v>
      </c>
      <c r="M104" s="43">
        <v>0.04</v>
      </c>
      <c r="N104" s="43">
        <v>0.04</v>
      </c>
      <c r="O104" s="43">
        <v>0.04</v>
      </c>
      <c r="P104" s="43">
        <v>0.04</v>
      </c>
      <c r="Q104" s="43">
        <v>0.04</v>
      </c>
      <c r="R104" s="43">
        <v>0.04</v>
      </c>
      <c r="S104" s="43">
        <v>0.04</v>
      </c>
    </row>
    <row r="105" spans="1:19" x14ac:dyDescent="0.3">
      <c r="A105" s="1" t="s">
        <v>187</v>
      </c>
      <c r="B105" s="44" t="s">
        <v>237</v>
      </c>
      <c r="E105" s="43">
        <v>0.65</v>
      </c>
      <c r="F105" s="43">
        <v>0.6</v>
      </c>
      <c r="G105" s="43">
        <v>0.55000000000000004</v>
      </c>
      <c r="H105" s="43">
        <v>0.5</v>
      </c>
      <c r="I105" s="43">
        <v>0.46</v>
      </c>
      <c r="J105" s="43">
        <v>0.42</v>
      </c>
      <c r="K105" s="43">
        <v>0.4</v>
      </c>
      <c r="L105" s="43">
        <v>0.38</v>
      </c>
      <c r="M105" s="43">
        <v>0.36</v>
      </c>
      <c r="N105" s="43">
        <v>0.35</v>
      </c>
      <c r="O105" s="43">
        <v>0.34</v>
      </c>
      <c r="P105" s="43">
        <v>0.33</v>
      </c>
      <c r="Q105" s="43">
        <v>0.32</v>
      </c>
      <c r="R105" s="43">
        <v>0.31</v>
      </c>
      <c r="S105" s="43">
        <v>0.3</v>
      </c>
    </row>
    <row r="106" spans="1:19" x14ac:dyDescent="0.3">
      <c r="A106" s="1" t="s">
        <v>183</v>
      </c>
      <c r="B106" s="44" t="s">
        <v>212</v>
      </c>
      <c r="E106" s="43">
        <v>0.185</v>
      </c>
      <c r="F106" s="43">
        <v>0.16</v>
      </c>
      <c r="G106" s="43">
        <v>0.14499999999999999</v>
      </c>
      <c r="H106" s="43">
        <v>0.13500000000000001</v>
      </c>
      <c r="I106" s="43">
        <v>0.125</v>
      </c>
      <c r="J106" s="43">
        <v>0.115</v>
      </c>
      <c r="K106" s="43">
        <v>0.11</v>
      </c>
      <c r="L106" s="43">
        <v>0.105</v>
      </c>
      <c r="M106" s="43">
        <v>0.1</v>
      </c>
      <c r="N106" s="43">
        <v>0.1</v>
      </c>
      <c r="O106" s="43">
        <v>0.1</v>
      </c>
      <c r="P106" s="43">
        <v>0.1</v>
      </c>
      <c r="Q106" s="43">
        <v>0.1</v>
      </c>
      <c r="R106" s="43">
        <v>0.1</v>
      </c>
      <c r="S106" s="43">
        <v>0.1</v>
      </c>
    </row>
    <row r="107" spans="1:19" x14ac:dyDescent="0.3">
      <c r="A107" s="1" t="s">
        <v>238</v>
      </c>
      <c r="B107" s="44" t="s">
        <v>212</v>
      </c>
      <c r="E107" s="43">
        <v>9.5000000000000001E-2</v>
      </c>
      <c r="F107" s="43">
        <v>8.5000000000000006E-2</v>
      </c>
      <c r="G107" s="43">
        <v>7.4999999999999997E-2</v>
      </c>
      <c r="H107" s="43">
        <v>7.0000000000000007E-2</v>
      </c>
      <c r="I107" s="43">
        <v>6.5000000000000002E-2</v>
      </c>
      <c r="J107" s="43">
        <v>0.06</v>
      </c>
      <c r="K107" s="43">
        <v>5.5E-2</v>
      </c>
      <c r="L107" s="43">
        <v>5.5E-2</v>
      </c>
      <c r="M107" s="43">
        <v>0.05</v>
      </c>
      <c r="N107" s="43">
        <v>0.05</v>
      </c>
      <c r="O107" s="43">
        <v>0.05</v>
      </c>
      <c r="P107" s="43">
        <v>0.05</v>
      </c>
      <c r="Q107" s="43">
        <v>0.05</v>
      </c>
      <c r="R107" s="43">
        <v>0.05</v>
      </c>
      <c r="S107" s="43">
        <v>0.05</v>
      </c>
    </row>
    <row r="108" spans="1:19" x14ac:dyDescent="0.3">
      <c r="A108" s="1" t="s">
        <v>239</v>
      </c>
      <c r="B108" s="44" t="s">
        <v>212</v>
      </c>
      <c r="E108" s="43">
        <v>8.0000000000000002E-3</v>
      </c>
      <c r="F108" s="43">
        <v>8.0000000000000002E-3</v>
      </c>
      <c r="G108" s="43">
        <v>8.0000000000000002E-3</v>
      </c>
      <c r="H108" s="43">
        <v>8.0000000000000002E-3</v>
      </c>
      <c r="I108" s="43">
        <v>8.0000000000000002E-3</v>
      </c>
      <c r="J108" s="43">
        <v>8.0000000000000002E-3</v>
      </c>
      <c r="K108" s="43">
        <v>8.0000000000000002E-3</v>
      </c>
      <c r="L108" s="43">
        <v>8.0000000000000002E-3</v>
      </c>
      <c r="M108" s="43">
        <v>8.0000000000000002E-3</v>
      </c>
      <c r="N108" s="43">
        <v>8.0000000000000002E-3</v>
      </c>
      <c r="O108" s="43">
        <v>8.0000000000000002E-3</v>
      </c>
      <c r="P108" s="43">
        <v>8.0000000000000002E-3</v>
      </c>
      <c r="Q108" s="43">
        <v>8.0000000000000002E-3</v>
      </c>
      <c r="R108" s="43">
        <v>8.0000000000000002E-3</v>
      </c>
      <c r="S108" s="43">
        <v>8.0000000000000002E-3</v>
      </c>
    </row>
    <row r="109" spans="1:19" x14ac:dyDescent="0.3">
      <c r="A109" s="1" t="s">
        <v>240</v>
      </c>
      <c r="B109" s="44" t="s">
        <v>212</v>
      </c>
      <c r="E109" s="43">
        <v>5.0000000000000001E-3</v>
      </c>
      <c r="F109" s="43">
        <v>5.0000000000000001E-3</v>
      </c>
      <c r="G109" s="43">
        <v>5.0000000000000001E-3</v>
      </c>
      <c r="H109" s="43">
        <v>5.0000000000000001E-3</v>
      </c>
      <c r="I109" s="43">
        <v>5.0000000000000001E-3</v>
      </c>
      <c r="J109" s="43">
        <v>5.0000000000000001E-3</v>
      </c>
      <c r="K109" s="43">
        <v>5.0000000000000001E-3</v>
      </c>
      <c r="L109" s="43">
        <v>5.0000000000000001E-3</v>
      </c>
      <c r="M109" s="43">
        <v>5.0000000000000001E-3</v>
      </c>
      <c r="N109" s="43">
        <v>5.0000000000000001E-3</v>
      </c>
      <c r="O109" s="43">
        <v>5.0000000000000001E-3</v>
      </c>
      <c r="P109" s="43">
        <v>5.0000000000000001E-3</v>
      </c>
      <c r="Q109" s="43">
        <v>5.0000000000000001E-3</v>
      </c>
      <c r="R109" s="43">
        <v>5.0000000000000001E-3</v>
      </c>
      <c r="S109" s="43">
        <v>5.0000000000000001E-3</v>
      </c>
    </row>
    <row r="110" spans="1:19" x14ac:dyDescent="0.3">
      <c r="A110" s="1" t="s">
        <v>241</v>
      </c>
      <c r="B110" s="44" t="s">
        <v>242</v>
      </c>
      <c r="E110" s="43">
        <v>0.02</v>
      </c>
      <c r="F110" s="43">
        <v>0.02</v>
      </c>
      <c r="G110" s="43">
        <v>0.02</v>
      </c>
      <c r="H110" s="43">
        <v>0.02</v>
      </c>
      <c r="I110" s="43">
        <v>0.02</v>
      </c>
      <c r="J110" s="43">
        <v>0.02</v>
      </c>
      <c r="K110" s="43">
        <v>0.02</v>
      </c>
      <c r="L110" s="43">
        <v>0.02</v>
      </c>
      <c r="M110" s="43">
        <v>0.02</v>
      </c>
      <c r="N110" s="43">
        <v>0.02</v>
      </c>
      <c r="O110" s="43">
        <v>0.02</v>
      </c>
      <c r="P110" s="43">
        <v>0.02</v>
      </c>
      <c r="Q110" s="43">
        <v>0.02</v>
      </c>
      <c r="R110" s="43">
        <v>0.02</v>
      </c>
      <c r="S110" s="43">
        <v>0.02</v>
      </c>
    </row>
    <row r="111" spans="1:19" x14ac:dyDescent="0.3">
      <c r="A111" s="1" t="s">
        <v>243</v>
      </c>
      <c r="B111" s="44" t="s">
        <v>244</v>
      </c>
      <c r="E111" s="43">
        <v>0.04</v>
      </c>
      <c r="F111" s="43"/>
      <c r="G111" s="43"/>
      <c r="H111" s="43"/>
      <c r="I111" s="43"/>
      <c r="J111" s="43"/>
      <c r="K111" s="43"/>
      <c r="L111" s="43"/>
      <c r="M111" s="43"/>
      <c r="N111" s="43"/>
      <c r="O111" s="43"/>
      <c r="P111" s="43"/>
      <c r="Q111" s="43"/>
      <c r="R111" s="43"/>
      <c r="S111" s="43"/>
    </row>
    <row r="112" spans="1:19" x14ac:dyDescent="0.3">
      <c r="A112" s="1" t="s">
        <v>245</v>
      </c>
      <c r="B112" s="44" t="s">
        <v>246</v>
      </c>
      <c r="E112" s="48">
        <v>17</v>
      </c>
      <c r="F112" s="48"/>
      <c r="G112" s="48"/>
      <c r="H112" s="48"/>
      <c r="I112" s="48"/>
      <c r="J112" s="48"/>
      <c r="K112" s="48"/>
      <c r="L112" s="48"/>
      <c r="M112" s="48"/>
      <c r="N112" s="48"/>
      <c r="O112" s="48"/>
      <c r="P112" s="48"/>
      <c r="Q112" s="48"/>
      <c r="R112" s="48"/>
      <c r="S112" s="48"/>
    </row>
    <row r="113" spans="1:19" x14ac:dyDescent="0.3">
      <c r="A113" s="1" t="s">
        <v>247</v>
      </c>
      <c r="B113" s="44" t="s">
        <v>244</v>
      </c>
      <c r="E113" s="32">
        <v>0.25</v>
      </c>
      <c r="F113" s="32"/>
      <c r="G113" s="32"/>
      <c r="H113" s="32"/>
      <c r="I113" s="32"/>
      <c r="J113" s="32"/>
      <c r="K113" s="32"/>
      <c r="L113" s="32"/>
      <c r="M113" s="32"/>
      <c r="N113" s="32"/>
      <c r="O113" s="32"/>
      <c r="P113" s="32"/>
      <c r="Q113" s="32"/>
      <c r="R113" s="32"/>
      <c r="S113" s="32"/>
    </row>
    <row r="114" spans="1:19" ht="3" customHeight="1" x14ac:dyDescent="0.3"/>
    <row r="115" spans="1:19" x14ac:dyDescent="0.3">
      <c r="A115" s="183" t="s">
        <v>932</v>
      </c>
    </row>
  </sheetData>
  <sheetProtection algorithmName="SHA-512" hashValue="tBxQWj8mRkmOQhUTMrGdUieGI3VCJ6cIsT+XMP9905pPVR9MEpovQ+HU/cj6HPtMDB0inb4f1pUU6Jm9401IZA==" saltValue="hKCWJFUK8X9RQPxR1QaiGA==" spinCount="100000" sheet="1" objects="1" scenarios="1" sort="0" autoFilter="0"/>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D36B6-4A5C-444A-825E-67CF92C796A0}">
  <sheetPr>
    <tabColor rgb="FFB0AEA5"/>
  </sheetPr>
  <dimension ref="A1:Z100"/>
  <sheetViews>
    <sheetView showGridLines="0" workbookViewId="0">
      <pane ySplit="2" topLeftCell="A3" activePane="bottomLeft" state="frozen"/>
      <selection pane="bottomLeft" activeCell="I22" sqref="I22"/>
    </sheetView>
  </sheetViews>
  <sheetFormatPr defaultRowHeight="14.4" x14ac:dyDescent="0.3"/>
  <cols>
    <col min="1" max="1" width="55.5546875" style="1" customWidth="1"/>
    <col min="2" max="6" width="17.5546875" style="1" customWidth="1"/>
    <col min="7" max="7" width="77.77734375" style="1" customWidth="1"/>
    <col min="8" max="26" width="8.88671875" style="1"/>
  </cols>
  <sheetData>
    <row r="1" spans="1:7" ht="30" customHeight="1" x14ac:dyDescent="0.4">
      <c r="A1" s="2" t="s">
        <v>875</v>
      </c>
    </row>
    <row r="2" spans="1:7" x14ac:dyDescent="0.3">
      <c r="A2" s="24" t="s">
        <v>250</v>
      </c>
    </row>
    <row r="3" spans="1:7" x14ac:dyDescent="0.3">
      <c r="A3" s="4" t="s">
        <v>251</v>
      </c>
    </row>
    <row r="5" spans="1:7" x14ac:dyDescent="0.3">
      <c r="A5" s="5" t="s">
        <v>252</v>
      </c>
      <c r="B5" s="5"/>
      <c r="C5" s="5"/>
      <c r="D5" s="5"/>
      <c r="E5" s="5"/>
      <c r="F5" s="5"/>
      <c r="G5" s="5"/>
    </row>
    <row r="6" spans="1:7" x14ac:dyDescent="0.3">
      <c r="A6" s="6" t="s">
        <v>253</v>
      </c>
      <c r="B6" s="7" t="s">
        <v>254</v>
      </c>
      <c r="C6" s="7"/>
      <c r="D6" s="7"/>
      <c r="E6" s="7"/>
      <c r="F6" s="7"/>
      <c r="G6" s="6" t="s">
        <v>255</v>
      </c>
    </row>
    <row r="7" spans="1:7" x14ac:dyDescent="0.3">
      <c r="A7" s="1" t="s">
        <v>256</v>
      </c>
      <c r="B7" s="50">
        <v>0.05</v>
      </c>
      <c r="G7" s="24" t="s">
        <v>257</v>
      </c>
    </row>
    <row r="8" spans="1:7" x14ac:dyDescent="0.3">
      <c r="A8" s="1" t="s">
        <v>258</v>
      </c>
      <c r="B8" s="50">
        <v>0.05</v>
      </c>
      <c r="G8" s="24" t="s">
        <v>259</v>
      </c>
    </row>
    <row r="9" spans="1:7" x14ac:dyDescent="0.3">
      <c r="A9" s="1" t="s">
        <v>260</v>
      </c>
      <c r="B9" s="50">
        <v>0.23</v>
      </c>
      <c r="G9" s="24" t="s">
        <v>261</v>
      </c>
    </row>
    <row r="10" spans="1:7" x14ac:dyDescent="0.3">
      <c r="A10" s="1" t="s">
        <v>262</v>
      </c>
      <c r="B10" s="50">
        <v>1.4999999999999999E-2</v>
      </c>
      <c r="G10" s="24" t="s">
        <v>263</v>
      </c>
    </row>
    <row r="11" spans="1:7" ht="3" customHeight="1" x14ac:dyDescent="0.3"/>
    <row r="12" spans="1:7" x14ac:dyDescent="0.3">
      <c r="A12" s="5" t="s">
        <v>264</v>
      </c>
      <c r="B12" s="5"/>
      <c r="C12" s="5"/>
      <c r="D12" s="5"/>
      <c r="E12" s="5"/>
      <c r="F12" s="5"/>
      <c r="G12" s="5"/>
    </row>
    <row r="13" spans="1:7" x14ac:dyDescent="0.3">
      <c r="A13" s="6" t="s">
        <v>253</v>
      </c>
      <c r="B13" s="7" t="s">
        <v>254</v>
      </c>
      <c r="C13" s="7"/>
      <c r="D13" s="7"/>
      <c r="E13" s="7"/>
      <c r="F13" s="7"/>
      <c r="G13" s="6" t="s">
        <v>255</v>
      </c>
    </row>
    <row r="14" spans="1:7" x14ac:dyDescent="0.3">
      <c r="A14" s="1" t="s">
        <v>265</v>
      </c>
      <c r="B14" s="52">
        <f>IF(Comps!K38="","n/a",Comps!K38)</f>
        <v>1.378026989495402</v>
      </c>
      <c r="G14" s="24" t="s">
        <v>585</v>
      </c>
    </row>
    <row r="15" spans="1:7" x14ac:dyDescent="0.3">
      <c r="A15" s="1" t="s">
        <v>868</v>
      </c>
      <c r="B15" s="146">
        <f>B14</f>
        <v>1.378026989495402</v>
      </c>
      <c r="G15" s="24" t="s">
        <v>869</v>
      </c>
    </row>
    <row r="16" spans="1:7" x14ac:dyDescent="0.3">
      <c r="A16" s="1" t="s">
        <v>266</v>
      </c>
      <c r="B16" s="53">
        <v>0.02</v>
      </c>
      <c r="G16" s="24" t="s">
        <v>267</v>
      </c>
    </row>
    <row r="17" spans="1:7" x14ac:dyDescent="0.3">
      <c r="A17" s="1" t="s">
        <v>268</v>
      </c>
      <c r="B17" s="54">
        <f>B15*(1+(1-B9)*B16)</f>
        <v>1.3992486051336313</v>
      </c>
      <c r="G17" s="24" t="s">
        <v>269</v>
      </c>
    </row>
    <row r="18" spans="1:7" x14ac:dyDescent="0.3">
      <c r="A18" s="1" t="s">
        <v>270</v>
      </c>
      <c r="B18" s="55">
        <f>B7+B17*B8+B10</f>
        <v>0.13496243025668159</v>
      </c>
      <c r="G18" s="24" t="s">
        <v>271</v>
      </c>
    </row>
    <row r="19" spans="1:7" x14ac:dyDescent="0.3">
      <c r="A19" s="1" t="s">
        <v>272</v>
      </c>
      <c r="B19" s="50">
        <v>0.09</v>
      </c>
      <c r="G19" s="24" t="s">
        <v>273</v>
      </c>
    </row>
    <row r="20" spans="1:7" x14ac:dyDescent="0.3">
      <c r="A20" s="1" t="s">
        <v>274</v>
      </c>
      <c r="B20" s="55">
        <f>B19*(1-B9)</f>
        <v>6.93E-2</v>
      </c>
      <c r="G20" s="24" t="s">
        <v>275</v>
      </c>
    </row>
    <row r="21" spans="1:7" x14ac:dyDescent="0.3">
      <c r="A21" s="1" t="s">
        <v>276</v>
      </c>
      <c r="B21" s="57">
        <f>1/(1+B16)</f>
        <v>0.98039215686274506</v>
      </c>
      <c r="G21" s="24" t="s">
        <v>277</v>
      </c>
    </row>
    <row r="22" spans="1:7" x14ac:dyDescent="0.3">
      <c r="A22" s="1" t="s">
        <v>278</v>
      </c>
      <c r="B22" s="57">
        <f>B16/(1+B16)</f>
        <v>1.9607843137254902E-2</v>
      </c>
      <c r="G22" s="24" t="s">
        <v>279</v>
      </c>
    </row>
    <row r="23" spans="1:7" x14ac:dyDescent="0.3">
      <c r="A23" s="27" t="s">
        <v>280</v>
      </c>
      <c r="B23" s="59">
        <f>B18*B21+B20*B22</f>
        <v>0.13367493162419763</v>
      </c>
      <c r="G23" s="24" t="s">
        <v>281</v>
      </c>
    </row>
    <row r="24" spans="1:7" ht="3" customHeight="1" x14ac:dyDescent="0.3"/>
    <row r="25" spans="1:7" x14ac:dyDescent="0.3">
      <c r="A25" s="5" t="s">
        <v>282</v>
      </c>
      <c r="B25" s="5"/>
      <c r="C25" s="5"/>
      <c r="D25" s="5"/>
      <c r="E25" s="5"/>
      <c r="F25" s="5"/>
      <c r="G25" s="5"/>
    </row>
    <row r="26" spans="1:7" x14ac:dyDescent="0.3">
      <c r="A26" s="6" t="s">
        <v>283</v>
      </c>
      <c r="B26" s="7" t="s">
        <v>280</v>
      </c>
      <c r="C26" s="7" t="s">
        <v>284</v>
      </c>
      <c r="D26" s="7" t="s">
        <v>285</v>
      </c>
      <c r="E26" s="7" t="s">
        <v>286</v>
      </c>
      <c r="F26" s="7" t="s">
        <v>501</v>
      </c>
      <c r="G26" s="6" t="s">
        <v>255</v>
      </c>
    </row>
    <row r="27" spans="1:7" x14ac:dyDescent="0.3">
      <c r="A27" s="1" t="s">
        <v>287</v>
      </c>
      <c r="B27" s="49">
        <f>$B$23</f>
        <v>0.13367493162419763</v>
      </c>
      <c r="C27" s="61">
        <f>Drivers!E49</f>
        <v>2.5000000000000001E-2</v>
      </c>
      <c r="D27" s="62">
        <f>Drivers!E50</f>
        <v>11</v>
      </c>
      <c r="E27" s="63">
        <f>Drivers!E51</f>
        <v>0.25</v>
      </c>
      <c r="F27" s="49">
        <f>$B$70</f>
        <v>0.1001529411764706</v>
      </c>
    </row>
    <row r="28" spans="1:7" x14ac:dyDescent="0.3">
      <c r="A28" s="1" t="s">
        <v>288</v>
      </c>
      <c r="B28" s="49">
        <f>$B$23</f>
        <v>0.13367493162419763</v>
      </c>
      <c r="C28" s="61">
        <f>Drivers!E80</f>
        <v>3.5000000000000003E-2</v>
      </c>
      <c r="D28" s="62">
        <f>Drivers!E81</f>
        <v>14</v>
      </c>
      <c r="E28" s="63">
        <f>Drivers!E82</f>
        <v>0.5</v>
      </c>
      <c r="F28" s="49">
        <f>$B$70</f>
        <v>0.1001529411764706</v>
      </c>
    </row>
    <row r="29" spans="1:7" x14ac:dyDescent="0.3">
      <c r="A29" s="1" t="s">
        <v>289</v>
      </c>
      <c r="B29" s="49">
        <f>$B$23</f>
        <v>0.13367493162419763</v>
      </c>
      <c r="C29" s="61">
        <f>Drivers!E111</f>
        <v>0.04</v>
      </c>
      <c r="D29" s="62">
        <f>Drivers!E112</f>
        <v>17</v>
      </c>
      <c r="E29" s="63">
        <f>Drivers!E113</f>
        <v>0.25</v>
      </c>
      <c r="F29" s="49">
        <f>$B$70</f>
        <v>0.1001529411764706</v>
      </c>
    </row>
    <row r="30" spans="1:7" x14ac:dyDescent="0.3">
      <c r="A30" s="24" t="s">
        <v>290</v>
      </c>
      <c r="B30" s="24"/>
      <c r="C30" s="24"/>
      <c r="D30" s="24"/>
      <c r="E30" s="64">
        <f>SUM(E27:E29)</f>
        <v>1</v>
      </c>
    </row>
    <row r="31" spans="1:7" ht="3" customHeight="1" x14ac:dyDescent="0.3"/>
    <row r="32" spans="1:7" x14ac:dyDescent="0.3">
      <c r="A32" s="5" t="s">
        <v>291</v>
      </c>
      <c r="B32" s="5"/>
      <c r="C32" s="5"/>
      <c r="D32" s="5"/>
      <c r="E32" s="5"/>
      <c r="F32" s="5"/>
      <c r="G32" s="5"/>
    </row>
    <row r="33" spans="1:7" x14ac:dyDescent="0.3">
      <c r="A33" s="6" t="s">
        <v>253</v>
      </c>
      <c r="B33" s="7" t="s">
        <v>254</v>
      </c>
      <c r="C33" s="7"/>
      <c r="D33" s="7"/>
      <c r="E33" s="7"/>
      <c r="F33" s="7"/>
      <c r="G33" s="6" t="s">
        <v>255</v>
      </c>
    </row>
    <row r="34" spans="1:7" x14ac:dyDescent="0.3">
      <c r="A34" s="1" t="s">
        <v>292</v>
      </c>
      <c r="B34" s="65">
        <f>INDEX(Historicals!$B$108:$J$108,MATCH(Actuals!$B$7,Historicals!$B$80:$J$80,0))/1000</f>
        <v>2157.3980000000001</v>
      </c>
      <c r="G34" s="24" t="s">
        <v>293</v>
      </c>
    </row>
    <row r="35" spans="1:7" x14ac:dyDescent="0.3">
      <c r="A35" s="1" t="s">
        <v>294</v>
      </c>
      <c r="B35" s="65">
        <f>INDEX(Historicals!$B$109:$J$109,MATCH(Actuals!$B$7,Historicals!$B$80:$J$80,0))/1000</f>
        <v>30.643000000000001</v>
      </c>
      <c r="G35" s="24" t="s">
        <v>295</v>
      </c>
    </row>
    <row r="36" spans="1:7" x14ac:dyDescent="0.3">
      <c r="A36" s="1" t="s">
        <v>296</v>
      </c>
      <c r="B36" s="65">
        <f>INDEX(Historicals!$B$107:$J$107,MATCH(Actuals!$B$7,Historicals!$B$80:$J$80,0))/1000</f>
        <v>853.39400000000001</v>
      </c>
      <c r="G36" s="24" t="s">
        <v>297</v>
      </c>
    </row>
    <row r="37" spans="1:7" x14ac:dyDescent="0.3">
      <c r="A37" s="1" t="s">
        <v>864</v>
      </c>
      <c r="B37" s="145">
        <v>10</v>
      </c>
      <c r="G37" s="24" t="s">
        <v>865</v>
      </c>
    </row>
    <row r="38" spans="1:7" x14ac:dyDescent="0.3">
      <c r="A38" s="1" t="s">
        <v>298</v>
      </c>
      <c r="B38" s="66">
        <f>B36*B37</f>
        <v>8533.94</v>
      </c>
    </row>
    <row r="39" spans="1:7" x14ac:dyDescent="0.3">
      <c r="A39" s="1" t="s">
        <v>299</v>
      </c>
      <c r="B39" s="68">
        <f>INDEX(Historicals!$B$98:$J$98,MATCH(Actuals!$B$7,Historicals!$B$80:$J$80,0))</f>
        <v>108566</v>
      </c>
      <c r="G39" s="24" t="s">
        <v>300</v>
      </c>
    </row>
    <row r="40" spans="1:7" x14ac:dyDescent="0.3">
      <c r="A40" s="1" t="s">
        <v>701</v>
      </c>
      <c r="B40" s="169">
        <v>1</v>
      </c>
      <c r="G40" s="24"/>
    </row>
    <row r="41" spans="1:7" x14ac:dyDescent="0.3">
      <c r="A41" s="1" t="s">
        <v>866</v>
      </c>
      <c r="B41" s="70">
        <f>Historicals!B178/B37</f>
        <v>58.900950000000002</v>
      </c>
      <c r="G41" s="24" t="s">
        <v>867</v>
      </c>
    </row>
    <row r="42" spans="1:7" x14ac:dyDescent="0.3">
      <c r="A42" s="1" t="s">
        <v>301</v>
      </c>
      <c r="B42" s="66">
        <f>B39*B40/B41</f>
        <v>1843.1960774826211</v>
      </c>
      <c r="G42" s="24" t="s">
        <v>302</v>
      </c>
    </row>
    <row r="43" spans="1:7" x14ac:dyDescent="0.3">
      <c r="A43" s="1" t="s">
        <v>856</v>
      </c>
      <c r="B43" s="71">
        <v>1797.066</v>
      </c>
      <c r="G43" s="24" t="s">
        <v>859</v>
      </c>
    </row>
    <row r="44" spans="1:7" x14ac:dyDescent="0.3">
      <c r="A44" s="1" t="s">
        <v>857</v>
      </c>
      <c r="B44" s="47">
        <v>2.89</v>
      </c>
      <c r="G44" s="24" t="s">
        <v>860</v>
      </c>
    </row>
    <row r="45" spans="1:7" x14ac:dyDescent="0.3">
      <c r="A45" s="1" t="s">
        <v>858</v>
      </c>
      <c r="B45" s="71">
        <v>1049.6310000000001</v>
      </c>
      <c r="G45" s="24" t="s">
        <v>861</v>
      </c>
    </row>
    <row r="46" spans="1:7" x14ac:dyDescent="0.3">
      <c r="A46" s="1" t="s">
        <v>862</v>
      </c>
      <c r="B46" s="162">
        <f>B43-B43*B44/B47+B45</f>
        <v>2758.5217752122244</v>
      </c>
      <c r="G46" s="24" t="s">
        <v>863</v>
      </c>
    </row>
    <row r="47" spans="1:7" x14ac:dyDescent="0.3">
      <c r="A47" s="1" t="s">
        <v>303</v>
      </c>
      <c r="B47" s="70">
        <f>Dashboard!B5</f>
        <v>58.9</v>
      </c>
      <c r="G47" s="24" t="s">
        <v>304</v>
      </c>
    </row>
    <row r="48" spans="1:7" x14ac:dyDescent="0.3">
      <c r="A48" s="1" t="s">
        <v>305</v>
      </c>
      <c r="B48" s="170">
        <v>20000</v>
      </c>
      <c r="G48" s="24" t="s">
        <v>306</v>
      </c>
    </row>
    <row r="49" spans="1:7" x14ac:dyDescent="0.3">
      <c r="A49" s="1" t="s">
        <v>307</v>
      </c>
      <c r="B49" s="43">
        <v>0.02</v>
      </c>
    </row>
    <row r="50" spans="1:7" ht="3" customHeight="1" x14ac:dyDescent="0.3">
      <c r="A50" s="1" t="s">
        <v>308</v>
      </c>
      <c r="B50" s="72">
        <f>B48*(1-B49)</f>
        <v>19600</v>
      </c>
    </row>
    <row r="51" spans="1:7" x14ac:dyDescent="0.3">
      <c r="A51" s="1" t="s">
        <v>309</v>
      </c>
      <c r="B51" s="66">
        <f>IF(B47&gt;0,B48/B47,0)</f>
        <v>339.5585738539898</v>
      </c>
    </row>
    <row r="52" spans="1:7" x14ac:dyDescent="0.3">
      <c r="A52" s="27" t="s">
        <v>310</v>
      </c>
      <c r="B52" s="73">
        <f>B34+B35+B38+B42+B46+B51</f>
        <v>15663.257426548837</v>
      </c>
      <c r="G52" s="24" t="s">
        <v>311</v>
      </c>
    </row>
    <row r="54" spans="1:7" x14ac:dyDescent="0.3">
      <c r="A54" s="5" t="s">
        <v>312</v>
      </c>
      <c r="B54" s="5"/>
      <c r="C54" s="5"/>
      <c r="D54" s="5"/>
      <c r="E54" s="5"/>
      <c r="F54" s="5"/>
      <c r="G54" s="5"/>
    </row>
    <row r="55" spans="1:7" x14ac:dyDescent="0.3">
      <c r="A55" s="6" t="s">
        <v>253</v>
      </c>
      <c r="B55" s="7" t="s">
        <v>254</v>
      </c>
      <c r="C55" s="7"/>
      <c r="D55" s="7"/>
      <c r="E55" s="7"/>
      <c r="F55" s="7"/>
      <c r="G55" s="6" t="s">
        <v>255</v>
      </c>
    </row>
    <row r="56" spans="1:7" x14ac:dyDescent="0.3">
      <c r="A56" s="1" t="s">
        <v>313</v>
      </c>
      <c r="B56" s="68">
        <f>INDEX(Historicals!$B$82:$J$82,MATCH(Actuals!$B$7,Historicals!$B$80:$J$80,0))</f>
        <v>112389</v>
      </c>
    </row>
    <row r="57" spans="1:7" x14ac:dyDescent="0.3">
      <c r="A57" s="1" t="s">
        <v>314</v>
      </c>
      <c r="B57" s="68">
        <f>INDEX(Historicals!$B$83:$J$83,MATCH(Actuals!$B$7,Historicals!$B$80:$J$80,0))</f>
        <v>19262</v>
      </c>
    </row>
    <row r="58" spans="1:7" x14ac:dyDescent="0.3">
      <c r="A58" s="1" t="s">
        <v>315</v>
      </c>
      <c r="B58" s="45">
        <v>0</v>
      </c>
      <c r="G58" s="24" t="s">
        <v>316</v>
      </c>
    </row>
    <row r="59" spans="1:7" x14ac:dyDescent="0.3">
      <c r="A59" s="1" t="s">
        <v>702</v>
      </c>
      <c r="B59" s="143">
        <f>B39*(1-B40)</f>
        <v>0</v>
      </c>
      <c r="G59" s="24"/>
    </row>
    <row r="60" spans="1:7" ht="3" customHeight="1" x14ac:dyDescent="0.3">
      <c r="A60" s="1" t="s">
        <v>317</v>
      </c>
      <c r="B60" s="45">
        <v>0</v>
      </c>
      <c r="G60" s="24" t="s">
        <v>318</v>
      </c>
    </row>
    <row r="61" spans="1:7" x14ac:dyDescent="0.3">
      <c r="A61" s="1" t="s">
        <v>319</v>
      </c>
      <c r="B61" s="72">
        <f>B50</f>
        <v>19600</v>
      </c>
    </row>
    <row r="62" spans="1:7" x14ac:dyDescent="0.3">
      <c r="A62" s="27" t="s">
        <v>320</v>
      </c>
      <c r="B62" s="74">
        <f>B56+B57-B58-B59-B60+B61</f>
        <v>151251</v>
      </c>
      <c r="G62" s="24" t="s">
        <v>321</v>
      </c>
    </row>
    <row r="64" spans="1:7" x14ac:dyDescent="0.3">
      <c r="A64" s="5" t="s">
        <v>490</v>
      </c>
      <c r="B64" s="5"/>
      <c r="C64" s="5"/>
      <c r="D64" s="5"/>
      <c r="E64" s="5"/>
      <c r="F64" s="5"/>
      <c r="G64" s="5"/>
    </row>
    <row r="65" spans="1:7" x14ac:dyDescent="0.3">
      <c r="A65" s="6" t="s">
        <v>253</v>
      </c>
      <c r="B65" s="7" t="s">
        <v>254</v>
      </c>
      <c r="C65" s="6"/>
      <c r="D65" s="6"/>
      <c r="E65" s="6"/>
      <c r="F65" s="6"/>
      <c r="G65" s="6" t="s">
        <v>255</v>
      </c>
    </row>
    <row r="66" spans="1:7" x14ac:dyDescent="0.3">
      <c r="A66" s="1" t="s">
        <v>491</v>
      </c>
      <c r="B66" s="53">
        <v>1</v>
      </c>
      <c r="G66" s="24" t="s">
        <v>492</v>
      </c>
    </row>
    <row r="67" spans="1:7" x14ac:dyDescent="0.3">
      <c r="A67" s="1" t="s">
        <v>493</v>
      </c>
      <c r="B67" s="50">
        <v>0</v>
      </c>
      <c r="G67" s="24" t="s">
        <v>494</v>
      </c>
    </row>
    <row r="68" spans="1:7" x14ac:dyDescent="0.3">
      <c r="A68" s="1" t="s">
        <v>495</v>
      </c>
      <c r="B68" s="54">
        <f>B66*(1+(1-B9)*B16)</f>
        <v>1.0154000000000001</v>
      </c>
      <c r="G68" s="24" t="s">
        <v>496</v>
      </c>
    </row>
    <row r="69" spans="1:7" x14ac:dyDescent="0.3">
      <c r="A69" s="1" t="s">
        <v>497</v>
      </c>
      <c r="B69" s="55">
        <f>B7+B68*B8+B67</f>
        <v>0.10077000000000001</v>
      </c>
      <c r="G69" s="24" t="s">
        <v>498</v>
      </c>
    </row>
    <row r="70" spans="1:7" x14ac:dyDescent="0.3">
      <c r="A70" s="27" t="s">
        <v>499</v>
      </c>
      <c r="B70" s="59">
        <f>B69*B21+B20*B22</f>
        <v>0.1001529411764706</v>
      </c>
      <c r="G70" s="24" t="s">
        <v>500</v>
      </c>
    </row>
    <row r="72" spans="1:7" x14ac:dyDescent="0.3">
      <c r="A72"/>
    </row>
    <row r="100" spans="1:1" x14ac:dyDescent="0.3">
      <c r="A100" s="183" t="s">
        <v>932</v>
      </c>
    </row>
  </sheetData>
  <sheetProtection algorithmName="SHA-512" hashValue="YvsKIMcMbOXARz2L52VWPyuZnjwJ7ORhJJ1JuE0dc69gvkL5Nu1iDxSib075578LXBtuYNrLqCjXG4zKhMMOyw==" saltValue="ee4pqaRowE8BHHzriXzQxA==" spinCount="100000" sheet="1" objects="1" scenarios="1" sort="0" autoFilter="0"/>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03F19-1593-4ED0-95E4-264B0E76A39C}">
  <sheetPr>
    <tabColor rgb="FFB0AEA5"/>
  </sheetPr>
  <dimension ref="A1:Z100"/>
  <sheetViews>
    <sheetView showGridLines="0" workbookViewId="0">
      <pane ySplit="2" topLeftCell="A3" activePane="bottomLeft" state="frozen"/>
      <selection pane="bottomLeft" activeCell="E15" sqref="E15"/>
    </sheetView>
  </sheetViews>
  <sheetFormatPr defaultRowHeight="14.4" x14ac:dyDescent="0.3"/>
  <cols>
    <col min="1" max="1" width="101.109375" style="1" customWidth="1"/>
    <col min="2" max="8" width="14.77734375" style="1" customWidth="1"/>
    <col min="9" max="9" width="77.77734375" style="1" customWidth="1"/>
    <col min="10" max="26" width="8.88671875" style="1"/>
  </cols>
  <sheetData>
    <row r="1" spans="1:9" ht="30" customHeight="1" x14ac:dyDescent="0.4">
      <c r="A1" s="2" t="s">
        <v>878</v>
      </c>
    </row>
    <row r="2" spans="1:9" x14ac:dyDescent="0.3">
      <c r="A2" s="24" t="s">
        <v>770</v>
      </c>
    </row>
    <row r="3" spans="1:9" x14ac:dyDescent="0.3">
      <c r="A3" s="4" t="s">
        <v>881</v>
      </c>
    </row>
    <row r="4" spans="1:9" ht="3" customHeight="1" x14ac:dyDescent="0.3"/>
    <row r="5" spans="1:9" x14ac:dyDescent="0.3">
      <c r="A5" s="5" t="s">
        <v>882</v>
      </c>
      <c r="B5" s="5"/>
      <c r="C5" s="5"/>
      <c r="D5" s="5"/>
      <c r="E5" s="5"/>
      <c r="F5" s="5"/>
      <c r="G5" s="5"/>
      <c r="H5" s="5"/>
      <c r="I5" s="5"/>
    </row>
    <row r="6" spans="1:9" x14ac:dyDescent="0.3">
      <c r="A6" s="6" t="s">
        <v>771</v>
      </c>
      <c r="B6" s="7" t="s">
        <v>772</v>
      </c>
      <c r="C6" s="7">
        <v>2026</v>
      </c>
      <c r="D6" s="7">
        <v>2027</v>
      </c>
      <c r="E6" s="7">
        <v>2028</v>
      </c>
      <c r="F6" s="7">
        <v>2029</v>
      </c>
      <c r="G6" s="7">
        <v>2030</v>
      </c>
      <c r="H6" s="7" t="s">
        <v>773</v>
      </c>
      <c r="I6" s="154" t="s">
        <v>774</v>
      </c>
    </row>
    <row r="7" spans="1:9" x14ac:dyDescent="0.3">
      <c r="A7" s="1" t="s">
        <v>775</v>
      </c>
      <c r="B7" s="9">
        <f>SUM(C7:H7)</f>
        <v>1601</v>
      </c>
      <c r="C7" s="158">
        <v>52</v>
      </c>
      <c r="D7" s="158">
        <v>109</v>
      </c>
      <c r="E7" s="158">
        <v>194</v>
      </c>
      <c r="F7" s="158">
        <v>162</v>
      </c>
      <c r="G7" s="158">
        <v>173</v>
      </c>
      <c r="H7" s="158">
        <v>911</v>
      </c>
      <c r="I7" s="171" t="s">
        <v>776</v>
      </c>
    </row>
    <row r="8" spans="1:9" x14ac:dyDescent="0.3">
      <c r="A8" s="1" t="s">
        <v>777</v>
      </c>
      <c r="B8" s="9">
        <f>SUM(C8:H8)</f>
        <v>523</v>
      </c>
      <c r="C8" s="158">
        <v>62</v>
      </c>
      <c r="D8" s="158">
        <v>106</v>
      </c>
      <c r="E8" s="158">
        <v>106</v>
      </c>
      <c r="F8" s="158">
        <v>106</v>
      </c>
      <c r="G8" s="158">
        <v>106</v>
      </c>
      <c r="H8" s="158">
        <v>37</v>
      </c>
      <c r="I8" s="171" t="s">
        <v>778</v>
      </c>
    </row>
    <row r="9" spans="1:9" x14ac:dyDescent="0.3">
      <c r="A9" s="1" t="s">
        <v>779</v>
      </c>
      <c r="B9" s="9">
        <f>SUM(C9:H9)</f>
        <v>54559</v>
      </c>
      <c r="C9" s="158">
        <v>7059</v>
      </c>
      <c r="D9" s="158">
        <v>11128</v>
      </c>
      <c r="E9" s="158">
        <v>10832</v>
      </c>
      <c r="F9" s="158">
        <v>8304</v>
      </c>
      <c r="G9" s="158">
        <v>5428</v>
      </c>
      <c r="H9" s="158">
        <v>11808</v>
      </c>
      <c r="I9" s="171" t="s">
        <v>780</v>
      </c>
    </row>
    <row r="10" spans="1:9" x14ac:dyDescent="0.3">
      <c r="A10" s="16" t="s">
        <v>781</v>
      </c>
      <c r="B10" s="18">
        <f>SUM(B7:B9)</f>
        <v>56683</v>
      </c>
      <c r="C10" s="18">
        <f>SUM(C7:C9)</f>
        <v>7173</v>
      </c>
      <c r="D10" s="18">
        <f>SUM(D7:D9)</f>
        <v>11343</v>
      </c>
      <c r="E10" s="18">
        <f>SUM(E7:E9)</f>
        <v>11132</v>
      </c>
      <c r="F10" s="18">
        <f>SUM(F7:F9)</f>
        <v>8572</v>
      </c>
      <c r="G10" s="18">
        <f>SUM(G7:G9)</f>
        <v>5707</v>
      </c>
      <c r="H10" s="18">
        <f>SUM(H7:H9)</f>
        <v>12756</v>
      </c>
      <c r="I10" s="171" t="s">
        <v>782</v>
      </c>
    </row>
    <row r="11" spans="1:9" ht="3" customHeight="1" x14ac:dyDescent="0.3">
      <c r="B11" s="9"/>
      <c r="C11" s="9"/>
      <c r="D11" s="9"/>
      <c r="E11" s="9"/>
      <c r="F11" s="9"/>
      <c r="G11" s="9"/>
      <c r="H11" s="9"/>
      <c r="I11" s="171"/>
    </row>
    <row r="12" spans="1:9" x14ac:dyDescent="0.3">
      <c r="A12" s="152" t="s">
        <v>783</v>
      </c>
      <c r="B12" s="9"/>
      <c r="C12" s="9"/>
      <c r="D12" s="9"/>
      <c r="E12" s="9"/>
      <c r="F12" s="9"/>
      <c r="G12" s="9"/>
      <c r="H12" s="9"/>
      <c r="I12" s="171"/>
    </row>
    <row r="13" spans="1:9" x14ac:dyDescent="0.3">
      <c r="A13" s="1" t="s">
        <v>884</v>
      </c>
      <c r="B13" s="158">
        <v>800</v>
      </c>
      <c r="C13" s="9"/>
      <c r="D13" s="9"/>
      <c r="E13" s="9"/>
      <c r="F13" s="9"/>
      <c r="G13" s="9"/>
      <c r="H13" s="9"/>
      <c r="I13" s="171" t="s">
        <v>784</v>
      </c>
    </row>
    <row r="14" spans="1:9" x14ac:dyDescent="0.3">
      <c r="A14" s="1" t="s">
        <v>785</v>
      </c>
      <c r="B14" s="158">
        <v>321400</v>
      </c>
      <c r="C14" s="9"/>
      <c r="D14" s="9"/>
      <c r="E14" s="9"/>
      <c r="F14" s="9"/>
      <c r="G14" s="9"/>
      <c r="H14" s="9"/>
      <c r="I14" s="171" t="s">
        <v>786</v>
      </c>
    </row>
    <row r="15" spans="1:9" x14ac:dyDescent="0.3">
      <c r="A15" s="1" t="s">
        <v>914</v>
      </c>
      <c r="B15" s="181">
        <v>265600</v>
      </c>
      <c r="C15" s="9"/>
      <c r="D15" s="9"/>
      <c r="E15" s="9"/>
      <c r="F15" s="9"/>
      <c r="G15" s="9"/>
      <c r="H15" s="9"/>
      <c r="I15" s="171"/>
    </row>
    <row r="16" spans="1:9" x14ac:dyDescent="0.3">
      <c r="A16" s="1" t="s">
        <v>883</v>
      </c>
      <c r="B16" s="157">
        <f>B15-B9</f>
        <v>211041</v>
      </c>
      <c r="C16" s="9"/>
      <c r="D16" s="9"/>
      <c r="E16" s="9"/>
      <c r="F16" s="9"/>
      <c r="G16" s="9"/>
      <c r="H16" s="9"/>
      <c r="I16" s="171" t="s">
        <v>787</v>
      </c>
    </row>
    <row r="17" spans="1:9" x14ac:dyDescent="0.3">
      <c r="A17" s="1" t="s">
        <v>887</v>
      </c>
      <c r="B17" s="158">
        <v>145000</v>
      </c>
      <c r="C17" s="9"/>
      <c r="D17" s="9"/>
      <c r="E17" s="9"/>
      <c r="F17" s="9"/>
      <c r="G17" s="9"/>
      <c r="H17" s="9"/>
      <c r="I17" s="171" t="s">
        <v>788</v>
      </c>
    </row>
    <row r="18" spans="1:9" x14ac:dyDescent="0.3">
      <c r="A18" s="1" t="s">
        <v>888</v>
      </c>
      <c r="B18" s="158">
        <v>190000</v>
      </c>
      <c r="C18" s="9"/>
      <c r="D18" s="9"/>
      <c r="E18" s="9"/>
      <c r="F18" s="9"/>
      <c r="G18" s="9"/>
      <c r="H18" s="9"/>
      <c r="I18" s="171" t="s">
        <v>789</v>
      </c>
    </row>
    <row r="19" spans="1:9" x14ac:dyDescent="0.3">
      <c r="A19" s="10" t="s">
        <v>790</v>
      </c>
      <c r="B19" s="12">
        <f>B10+B13+B14+B16+B17</f>
        <v>734924</v>
      </c>
      <c r="C19" s="9"/>
      <c r="D19" s="9"/>
      <c r="E19" s="9"/>
      <c r="F19" s="9"/>
      <c r="G19" s="9"/>
      <c r="H19" s="9"/>
      <c r="I19" s="171" t="s">
        <v>792</v>
      </c>
    </row>
    <row r="20" spans="1:9" x14ac:dyDescent="0.3">
      <c r="A20" s="10" t="s">
        <v>791</v>
      </c>
      <c r="B20" s="12">
        <f>B10+B13+B14+B16+B18</f>
        <v>779924</v>
      </c>
      <c r="C20" s="9"/>
      <c r="D20" s="9"/>
      <c r="E20" s="9"/>
      <c r="F20" s="9"/>
      <c r="G20" s="9"/>
      <c r="H20" s="9"/>
      <c r="I20" s="171"/>
    </row>
    <row r="21" spans="1:9" ht="3" customHeight="1" x14ac:dyDescent="0.3">
      <c r="B21" s="115"/>
      <c r="C21" s="115"/>
      <c r="D21" s="115"/>
      <c r="E21" s="115"/>
      <c r="F21" s="115"/>
      <c r="G21" s="115"/>
      <c r="H21" s="115"/>
      <c r="I21" s="171"/>
    </row>
    <row r="22" spans="1:9" x14ac:dyDescent="0.3">
      <c r="A22" s="5" t="s">
        <v>793</v>
      </c>
      <c r="B22" s="120"/>
      <c r="C22" s="120"/>
      <c r="D22" s="120"/>
      <c r="E22" s="120"/>
      <c r="F22" s="120"/>
      <c r="G22" s="120"/>
      <c r="H22" s="120"/>
      <c r="I22" s="172"/>
    </row>
    <row r="23" spans="1:9" x14ac:dyDescent="0.3">
      <c r="A23" s="6" t="s">
        <v>794</v>
      </c>
      <c r="B23" s="7" t="s">
        <v>795</v>
      </c>
      <c r="C23" s="7" t="s">
        <v>796</v>
      </c>
      <c r="D23" s="7" t="s">
        <v>797</v>
      </c>
      <c r="E23" s="7"/>
      <c r="F23" s="7"/>
      <c r="G23" s="7"/>
      <c r="H23" s="7"/>
      <c r="I23" s="154" t="s">
        <v>798</v>
      </c>
    </row>
    <row r="24" spans="1:9" x14ac:dyDescent="0.3">
      <c r="A24" s="1" t="s">
        <v>799</v>
      </c>
      <c r="B24" s="8">
        <v>42000</v>
      </c>
      <c r="C24" s="8">
        <v>0</v>
      </c>
      <c r="D24" s="43">
        <v>0.09</v>
      </c>
      <c r="E24" s="115"/>
      <c r="F24" s="115"/>
      <c r="G24" s="115"/>
      <c r="H24" s="115"/>
      <c r="I24" s="171" t="s">
        <v>800</v>
      </c>
    </row>
    <row r="25" spans="1:9" x14ac:dyDescent="0.3">
      <c r="A25" s="1" t="s">
        <v>801</v>
      </c>
      <c r="B25" s="8">
        <v>20000</v>
      </c>
      <c r="C25" s="8">
        <v>0</v>
      </c>
      <c r="D25" s="43"/>
      <c r="E25" s="115"/>
      <c r="F25" s="115"/>
      <c r="G25" s="115"/>
      <c r="H25" s="115"/>
      <c r="I25" s="171" t="s">
        <v>802</v>
      </c>
    </row>
    <row r="26" spans="1:9" x14ac:dyDescent="0.3">
      <c r="A26" s="1" t="s">
        <v>803</v>
      </c>
      <c r="B26" s="8">
        <v>6200</v>
      </c>
      <c r="C26" s="8">
        <v>6200</v>
      </c>
      <c r="D26" s="43"/>
      <c r="E26" s="115"/>
      <c r="F26" s="115"/>
      <c r="G26" s="115"/>
      <c r="H26" s="115"/>
      <c r="I26" s="171" t="s">
        <v>804</v>
      </c>
    </row>
    <row r="27" spans="1:9" x14ac:dyDescent="0.3">
      <c r="A27" s="10" t="s">
        <v>805</v>
      </c>
      <c r="B27" s="12">
        <f>SUM(B24:B26)</f>
        <v>68200</v>
      </c>
      <c r="C27" s="12">
        <f>SUM(C24:C26)</f>
        <v>6200</v>
      </c>
      <c r="D27" s="115"/>
      <c r="E27" s="115"/>
      <c r="F27" s="115"/>
      <c r="G27" s="115"/>
      <c r="H27" s="115"/>
      <c r="I27" s="171"/>
    </row>
    <row r="28" spans="1:9" x14ac:dyDescent="0.3">
      <c r="A28" s="1" t="s">
        <v>806</v>
      </c>
      <c r="B28" s="65">
        <f>(B24+B25)/Dashboard!$B$5</f>
        <v>1052.6315789473686</v>
      </c>
      <c r="C28" s="115"/>
      <c r="D28" s="115"/>
      <c r="E28" s="115"/>
      <c r="F28" s="115"/>
      <c r="G28" s="115"/>
      <c r="H28" s="115"/>
      <c r="I28" s="171" t="s">
        <v>807</v>
      </c>
    </row>
    <row r="29" spans="1:9" ht="3" customHeight="1" x14ac:dyDescent="0.3">
      <c r="B29" s="115"/>
      <c r="C29" s="115"/>
      <c r="D29" s="115"/>
      <c r="E29" s="115"/>
      <c r="F29" s="115"/>
      <c r="G29" s="115"/>
      <c r="H29" s="115"/>
      <c r="I29" s="171"/>
    </row>
    <row r="30" spans="1:9" x14ac:dyDescent="0.3">
      <c r="A30" s="5" t="s">
        <v>808</v>
      </c>
      <c r="B30" s="120"/>
      <c r="C30" s="120"/>
      <c r="D30" s="120"/>
      <c r="E30" s="120"/>
      <c r="F30" s="120"/>
      <c r="G30" s="120"/>
      <c r="H30" s="120"/>
      <c r="I30" s="172"/>
    </row>
    <row r="31" spans="1:9" x14ac:dyDescent="0.3">
      <c r="A31" s="6" t="s">
        <v>809</v>
      </c>
      <c r="B31" s="7" t="s">
        <v>772</v>
      </c>
      <c r="C31" s="7">
        <v>2026</v>
      </c>
      <c r="D31" s="7">
        <v>2027</v>
      </c>
      <c r="E31" s="7">
        <v>2028</v>
      </c>
      <c r="F31" s="7">
        <v>2029</v>
      </c>
      <c r="G31" s="7">
        <v>2030</v>
      </c>
      <c r="H31" s="7" t="s">
        <v>773</v>
      </c>
      <c r="I31" s="154" t="s">
        <v>255</v>
      </c>
    </row>
    <row r="32" spans="1:9" x14ac:dyDescent="0.3">
      <c r="A32" s="1" t="s">
        <v>810</v>
      </c>
      <c r="B32" s="30">
        <f>SUM(C32:H32)</f>
        <v>2743049.9940867694</v>
      </c>
      <c r="C32" s="77">
        <f>('DCF Base'!E89+'DCF Base'!E90+'DCF Base'!E92)*(1-'DCF Base'!E50)</f>
        <v>18291.957721354167</v>
      </c>
      <c r="D32" s="77">
        <f>'DCF Base'!F89+'DCF Base'!F90+'DCF Base'!F92</f>
        <v>72765.331640724486</v>
      </c>
      <c r="E32" s="77">
        <f>'DCF Base'!G89+'DCF Base'!G90+'DCF Base'!G92</f>
        <v>105670.5278687215</v>
      </c>
      <c r="F32" s="77">
        <f>'DCF Base'!H89+'DCF Base'!H90+'DCF Base'!H92</f>
        <v>130252.36041101524</v>
      </c>
      <c r="G32" s="77">
        <f>'DCF Base'!I89+'DCF Base'!I90+'DCF Base'!I92</f>
        <v>151993.61322975665</v>
      </c>
      <c r="H32" s="77">
        <f>SUM('DCF Base'!J89:'DCF Base'!S90)+SUM('DCF Base'!J92:'DCF Base'!S92)</f>
        <v>2264076.2032151972</v>
      </c>
      <c r="I32" s="171" t="s">
        <v>817</v>
      </c>
    </row>
    <row r="33" spans="1:9" x14ac:dyDescent="0.3">
      <c r="A33" s="1" t="s">
        <v>811</v>
      </c>
      <c r="B33" s="30">
        <f>SUM(C33:H33)</f>
        <v>1279385.2072880771</v>
      </c>
      <c r="C33" s="77">
        <f>('DCF Bear'!E89+'DCF Bear'!E90+'DCF Bear'!E92)*(1-'DCF Bear'!E50)</f>
        <v>17200.727500000005</v>
      </c>
      <c r="D33" s="77">
        <f>'DCF Bear'!F89+'DCF Bear'!F90+'DCF Bear'!F92</f>
        <v>54085.567546971441</v>
      </c>
      <c r="E33" s="77">
        <f>'DCF Bear'!G89+'DCF Bear'!G90+'DCF Bear'!G92</f>
        <v>67554.372672080382</v>
      </c>
      <c r="F33" s="77">
        <f>'DCF Bear'!H89+'DCF Bear'!H90+'DCF Bear'!H92</f>
        <v>75049.139062868475</v>
      </c>
      <c r="G33" s="77">
        <f>'DCF Bear'!I89+'DCF Bear'!I90+'DCF Bear'!I92</f>
        <v>80752.087577255021</v>
      </c>
      <c r="H33" s="77">
        <f>SUM('DCF Bear'!J89:'DCF Bear'!S90)+SUM('DCF Bear'!J92:'DCF Bear'!S92)</f>
        <v>984743.31292890164</v>
      </c>
      <c r="I33" s="171"/>
    </row>
    <row r="34" spans="1:9" x14ac:dyDescent="0.3">
      <c r="A34" s="1" t="s">
        <v>930</v>
      </c>
      <c r="B34" s="9">
        <f>B19</f>
        <v>734924</v>
      </c>
      <c r="C34" s="9">
        <f>C10</f>
        <v>7173</v>
      </c>
      <c r="D34" s="9">
        <f>D10</f>
        <v>11343</v>
      </c>
      <c r="E34" s="9">
        <f>E10</f>
        <v>11132</v>
      </c>
      <c r="F34" s="9">
        <f>F10</f>
        <v>8572</v>
      </c>
      <c r="G34" s="9">
        <f>G10</f>
        <v>5707</v>
      </c>
      <c r="H34" s="9">
        <f>H10</f>
        <v>12756</v>
      </c>
      <c r="I34" s="171"/>
    </row>
    <row r="35" spans="1:9" x14ac:dyDescent="0.3">
      <c r="A35" s="1" t="s">
        <v>812</v>
      </c>
      <c r="B35" s="126">
        <f>IF(B$34=0,"(awaiting)",B32/B$34)</f>
        <v>3.7324267462850163</v>
      </c>
      <c r="C35" s="126">
        <f>IF(C$34=0,"(awaiting)",C32/C$34)</f>
        <v>2.5501126057931365</v>
      </c>
      <c r="D35" s="126">
        <f>IF(D$34=0,"(awaiting)",D32/D$34)</f>
        <v>6.4149988222449519</v>
      </c>
      <c r="E35" s="126">
        <f>IF(E$34=0,"(awaiting)",E32/E$34)</f>
        <v>9.4925016051672202</v>
      </c>
      <c r="F35" s="126">
        <f>IF(F$34=0,"(awaiting)",F32/F$34)</f>
        <v>15.195095708237895</v>
      </c>
      <c r="G35" s="126">
        <f>IF(G$34=0,"(awaiting)",G32/G$34)</f>
        <v>26.632839185168503</v>
      </c>
      <c r="H35" s="126">
        <f>IF(H$34=0,"(awaiting)",H32/H$34)</f>
        <v>177.49107896011267</v>
      </c>
      <c r="I35" s="171"/>
    </row>
    <row r="36" spans="1:9" x14ac:dyDescent="0.3">
      <c r="A36" s="1" t="s">
        <v>813</v>
      </c>
      <c r="B36" s="126">
        <f>IF(B$34=0,"(awaiting)",B33/B$34)</f>
        <v>1.740840151210298</v>
      </c>
      <c r="C36" s="126">
        <f>IF(C$34=0,"(awaiting)",C33/C$34)</f>
        <v>2.3979823644221394</v>
      </c>
      <c r="D36" s="126">
        <f>IF(D$34=0,"(awaiting)",D33/D$34)</f>
        <v>4.768188975312655</v>
      </c>
      <c r="E36" s="126">
        <f>IF(E$34=0,"(awaiting)",E33/E$34)</f>
        <v>6.0684847890837572</v>
      </c>
      <c r="F36" s="126">
        <f>IF(F$34=0,"(awaiting)",F33/F$34)</f>
        <v>8.7551492140537182</v>
      </c>
      <c r="G36" s="126">
        <f>IF(G$34=0,"(awaiting)",G33/G$34)</f>
        <v>14.149656137595063</v>
      </c>
      <c r="H36" s="126">
        <f>IF(H$34=0,"(awaiting)",H33/H$34)</f>
        <v>77.198440963382069</v>
      </c>
      <c r="I36" s="171"/>
    </row>
    <row r="37" spans="1:9" x14ac:dyDescent="0.3">
      <c r="A37" s="1" t="s">
        <v>814</v>
      </c>
      <c r="B37" s="9">
        <f>SUM(C37:H37)</f>
        <v>0</v>
      </c>
      <c r="C37" s="9">
        <f>MAX(0,C34-C33)</f>
        <v>0</v>
      </c>
      <c r="D37" s="9">
        <f>MAX(0,D34-D33)</f>
        <v>0</v>
      </c>
      <c r="E37" s="9">
        <f>MAX(0,E34-E33)</f>
        <v>0</v>
      </c>
      <c r="F37" s="9">
        <f>MAX(0,F34-F33)</f>
        <v>0</v>
      </c>
      <c r="G37" s="9">
        <f>MAX(0,G34-G33)</f>
        <v>0</v>
      </c>
      <c r="H37" s="9">
        <f>MAX(0,H34-H33)</f>
        <v>0</v>
      </c>
      <c r="I37" s="171" t="s">
        <v>818</v>
      </c>
    </row>
    <row r="38" spans="1:9" x14ac:dyDescent="0.3">
      <c r="A38" s="1" t="s">
        <v>819</v>
      </c>
      <c r="B38" s="51"/>
      <c r="C38" s="52">
        <f>(Actuals!$B$10-Actuals!$B$8)/365/2</f>
        <v>0.25205479452054796</v>
      </c>
      <c r="D38" s="54">
        <f>C38*2+0.5</f>
        <v>1.004109589041096</v>
      </c>
      <c r="E38" s="54">
        <f>D38+1</f>
        <v>2.004109589041096</v>
      </c>
      <c r="F38" s="54">
        <f>E38+1</f>
        <v>3.004109589041096</v>
      </c>
      <c r="G38" s="54">
        <f>F38+1</f>
        <v>4.0041095890410965</v>
      </c>
      <c r="H38" s="53">
        <v>5.5</v>
      </c>
      <c r="I38" s="171" t="s">
        <v>820</v>
      </c>
    </row>
    <row r="39" spans="1:9" x14ac:dyDescent="0.3">
      <c r="A39" s="1" t="s">
        <v>815</v>
      </c>
      <c r="B39" s="9">
        <f>SUM(C39:H39)</f>
        <v>0</v>
      </c>
      <c r="C39" s="77">
        <f>C37/(1+'DCF Bear'!$E$38)^C38</f>
        <v>0</v>
      </c>
      <c r="D39" s="77">
        <f>D37/(1+'DCF Bear'!$E$38)^D38</f>
        <v>0</v>
      </c>
      <c r="E39" s="77">
        <f>E37/(1+'DCF Bear'!$E$38)^E38</f>
        <v>0</v>
      </c>
      <c r="F39" s="77">
        <f>F37/(1+'DCF Bear'!$E$38)^F38</f>
        <v>0</v>
      </c>
      <c r="G39" s="77">
        <f>G37/(1+'DCF Bear'!$E$38)^G38</f>
        <v>0</v>
      </c>
      <c r="H39" s="77">
        <f>H37/(1+'DCF Bear'!$E$38)^H38</f>
        <v>0</v>
      </c>
      <c r="I39" s="171"/>
    </row>
    <row r="40" spans="1:9" x14ac:dyDescent="0.3">
      <c r="A40" s="1" t="s">
        <v>816</v>
      </c>
      <c r="B40" s="70">
        <f>B39/WACC!$B$52</f>
        <v>0</v>
      </c>
      <c r="C40" s="115"/>
      <c r="D40" s="115"/>
      <c r="E40" s="115"/>
      <c r="F40" s="115"/>
      <c r="G40" s="115"/>
      <c r="H40" s="115"/>
      <c r="I40" s="171"/>
    </row>
    <row r="41" spans="1:9" x14ac:dyDescent="0.3">
      <c r="A41" s="10" t="s">
        <v>370</v>
      </c>
      <c r="B41" s="153" t="str">
        <f>IF(B34=0,"Awaiting S-1 / 10-Q commitments table",IF(B39=0,"OK – Bear forecast spend covers committed obligations","FLAG – commitments exceed Bear spend; consider deducting B38 from Bear equity"))</f>
        <v>OK – Bear forecast spend covers committed obligations</v>
      </c>
      <c r="C41" s="115"/>
      <c r="D41" s="115"/>
      <c r="E41" s="115"/>
      <c r="F41" s="115"/>
      <c r="G41" s="115"/>
      <c r="H41" s="115"/>
      <c r="I41" s="171"/>
    </row>
    <row r="43" spans="1:9" x14ac:dyDescent="0.3">
      <c r="A43"/>
    </row>
    <row r="100" spans="1:1" x14ac:dyDescent="0.3">
      <c r="A100" s="183" t="s">
        <v>932</v>
      </c>
    </row>
  </sheetData>
  <sheetProtection algorithmName="SHA-512" hashValue="oAKEZ60Jb+n2pIusq8CUiSWWF2F3pkGB5jN/ousZ3eEgIBi4nnoQxKmNBZWuQa2/dXezaHKGPlN58vEx7XotSA==" saltValue="FVTtqAIOslYdHiP3tqg6LA==" spinCount="100000" sheet="1" objects="1" scenarios="1" sort="0" autoFilter="0"/>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6ADC3-6BB9-4A93-9CD7-8EDA93EF5939}">
  <sheetPr>
    <tabColor rgb="FFB0AEA5"/>
  </sheetPr>
  <dimension ref="A1:Z100"/>
  <sheetViews>
    <sheetView showGridLines="0" workbookViewId="0">
      <pane xSplit="1" ySplit="2" topLeftCell="B3" activePane="bottomRight" state="frozen"/>
      <selection pane="topRight" activeCell="B1" sqref="B1"/>
      <selection pane="bottomLeft" activeCell="A3" sqref="A3"/>
      <selection pane="bottomRight"/>
    </sheetView>
  </sheetViews>
  <sheetFormatPr defaultRowHeight="14.4" x14ac:dyDescent="0.3"/>
  <cols>
    <col min="1" max="1" width="61.109375" style="1" customWidth="1"/>
    <col min="2" max="19" width="14.77734375" style="1" customWidth="1"/>
    <col min="20" max="26" width="8.88671875" style="1"/>
  </cols>
  <sheetData>
    <row r="1" spans="1:13" ht="30" customHeight="1" x14ac:dyDescent="0.4">
      <c r="A1" s="2" t="s">
        <v>877</v>
      </c>
    </row>
    <row r="2" spans="1:13" x14ac:dyDescent="0.3">
      <c r="A2" s="24" t="s">
        <v>725</v>
      </c>
    </row>
    <row r="3" spans="1:13" x14ac:dyDescent="0.3">
      <c r="A3" s="4" t="s">
        <v>726</v>
      </c>
    </row>
    <row r="4" spans="1:13" ht="3" customHeight="1" x14ac:dyDescent="0.3"/>
    <row r="5" spans="1:13" x14ac:dyDescent="0.3">
      <c r="A5" s="5" t="s">
        <v>727</v>
      </c>
      <c r="B5" s="5"/>
      <c r="C5" s="5"/>
      <c r="D5" s="5"/>
      <c r="E5" s="5"/>
      <c r="F5" s="5"/>
      <c r="G5" s="5"/>
      <c r="H5" s="5"/>
      <c r="I5" s="5"/>
      <c r="J5" s="5"/>
      <c r="K5" s="5"/>
      <c r="L5" s="5"/>
      <c r="M5" s="5"/>
    </row>
    <row r="6" spans="1:13" x14ac:dyDescent="0.3">
      <c r="A6" s="6" t="s">
        <v>177</v>
      </c>
      <c r="B6" s="7" t="str">
        <f>Historicals!B32</f>
        <v>Q1 2025A</v>
      </c>
      <c r="C6" s="7" t="str">
        <f>Historicals!C32</f>
        <v>Q2 2025A</v>
      </c>
      <c r="D6" s="7" t="str">
        <f>Historicals!D32</f>
        <v>Q3 2025A</v>
      </c>
      <c r="E6" s="7" t="str">
        <f>Historicals!E32</f>
        <v>Q4 2025A</v>
      </c>
      <c r="F6" s="7" t="str">
        <f>Historicals!F32</f>
        <v>Q1 2026A</v>
      </c>
      <c r="G6" s="7" t="str">
        <f>Historicals!G32</f>
        <v>Q2 2026A</v>
      </c>
      <c r="H6" s="7" t="str">
        <f>Historicals!H32</f>
        <v>Q3 2026A</v>
      </c>
      <c r="I6" s="7" t="str">
        <f>Historicals!I32</f>
        <v>Q4 2026A</v>
      </c>
      <c r="J6" s="7" t="str">
        <f>Historicals!J32</f>
        <v>Q1 2027A</v>
      </c>
      <c r="K6" s="7" t="str">
        <f>Historicals!K32</f>
        <v>Q2 2027A</v>
      </c>
      <c r="L6" s="7" t="str">
        <f>Historicals!L32</f>
        <v>Q3 2027A</v>
      </c>
      <c r="M6" s="7" t="str">
        <f>Historicals!M32</f>
        <v>Q4 2027A</v>
      </c>
    </row>
    <row r="7" spans="1:13" x14ac:dyDescent="0.3">
      <c r="A7" s="10" t="s">
        <v>14</v>
      </c>
      <c r="B7" s="87">
        <f>IF(Historicals!B33="","",Historicals!B33)</f>
        <v>376</v>
      </c>
      <c r="C7" s="87">
        <f>IF(Historicals!C33="","",Historicals!C33)</f>
        <v>787</v>
      </c>
      <c r="D7" s="87">
        <f>IF(Historicals!D33="","",Historicals!D33)</f>
        <v>1382</v>
      </c>
      <c r="E7" s="87">
        <f>IF(Historicals!E33="","",Historicals!E33)</f>
        <v>2040</v>
      </c>
      <c r="F7" s="87">
        <f>IF(Historicals!F33="","",Historicals!F33)</f>
        <v>4731</v>
      </c>
      <c r="G7" s="87">
        <f>IF(Historicals!G33="","",Historicals!G33)</f>
        <v>11555</v>
      </c>
      <c r="H7" s="87" t="str">
        <f>IF(Historicals!H33="","",Historicals!H33)</f>
        <v/>
      </c>
      <c r="I7" s="87" t="str">
        <f>IF(Historicals!I33="","",Historicals!I33)</f>
        <v/>
      </c>
      <c r="J7" s="87" t="str">
        <f>IF(Historicals!J33="","",Historicals!J33)</f>
        <v/>
      </c>
      <c r="K7" s="87" t="str">
        <f>IF(Historicals!K33="","",Historicals!K33)</f>
        <v/>
      </c>
      <c r="L7" s="87" t="str">
        <f>IF(Historicals!L33="","",Historicals!L33)</f>
        <v/>
      </c>
      <c r="M7" s="87" t="str">
        <f>IF(Historicals!M33="","",Historicals!M33)</f>
        <v/>
      </c>
    </row>
    <row r="8" spans="1:13" x14ac:dyDescent="0.3">
      <c r="A8" s="1" t="s">
        <v>731</v>
      </c>
      <c r="B8" s="31" t="str">
        <f>"–"</f>
        <v>–</v>
      </c>
      <c r="C8" s="41">
        <f>IF(OR(Historicals!C33="",Historicals!B33=""),"",Historicals!C33/Historicals!B33-1)</f>
        <v>1.0930851063829787</v>
      </c>
      <c r="D8" s="41">
        <f>IF(OR(Historicals!D33="",Historicals!C33=""),"",Historicals!D33/Historicals!C33-1)</f>
        <v>0.75603557814485378</v>
      </c>
      <c r="E8" s="41">
        <f>IF(OR(Historicals!E33="",Historicals!D33=""),"",Historicals!E33/Historicals!D33-1)</f>
        <v>0.47612156295224306</v>
      </c>
      <c r="F8" s="41">
        <f>IF(OR(Historicals!F33="",Historicals!E33=""),"",Historicals!F33/Historicals!E33-1)</f>
        <v>1.3191176470588237</v>
      </c>
      <c r="G8" s="41">
        <f>IF(OR(Historicals!G33="",Historicals!F33=""),"",Historicals!G33/Historicals!F33-1)</f>
        <v>1.4424011836820969</v>
      </c>
      <c r="H8" s="41" t="str">
        <f>IF(OR(Historicals!H33="",Historicals!G33=""),"",Historicals!H33/Historicals!G33-1)</f>
        <v/>
      </c>
      <c r="I8" s="41" t="str">
        <f>IF(OR(Historicals!I33="",Historicals!H33=""),"",Historicals!I33/Historicals!H33-1)</f>
        <v/>
      </c>
      <c r="J8" s="41" t="str">
        <f>IF(OR(Historicals!J33="",Historicals!I33=""),"",Historicals!J33/Historicals!I33-1)</f>
        <v/>
      </c>
      <c r="K8" s="41" t="str">
        <f>IF(OR(Historicals!K33="",Historicals!J33=""),"",Historicals!K33/Historicals!J33-1)</f>
        <v/>
      </c>
      <c r="L8" s="41" t="str">
        <f>IF(OR(Historicals!L33="",Historicals!K33=""),"",Historicals!L33/Historicals!K33-1)</f>
        <v/>
      </c>
      <c r="M8" s="41" t="str">
        <f>IF(OR(Historicals!M33="",Historicals!L33=""),"",Historicals!M33/Historicals!L33-1)</f>
        <v/>
      </c>
    </row>
    <row r="9" spans="1:13" x14ac:dyDescent="0.3">
      <c r="A9" s="1" t="s">
        <v>376</v>
      </c>
      <c r="B9" s="31" t="str">
        <f>"–"</f>
        <v>–</v>
      </c>
      <c r="C9" s="31" t="str">
        <f>"–"</f>
        <v>–</v>
      </c>
      <c r="D9" s="31" t="str">
        <f>"–"</f>
        <v>–</v>
      </c>
      <c r="E9" s="31" t="str">
        <f>"–"</f>
        <v>–</v>
      </c>
      <c r="F9" s="41">
        <f>IF(OR(Historicals!F33="",Historicals!B33=""),"",Historicals!F33/Historicals!B33-1)</f>
        <v>11.582446808510639</v>
      </c>
      <c r="G9" s="41">
        <f>IF(OR(Historicals!G33="",Historicals!C33=""),"",Historicals!G33/Historicals!C33-1)</f>
        <v>13.682337992376112</v>
      </c>
      <c r="H9" s="41" t="str">
        <f>IF(OR(Historicals!H33="",Historicals!D33=""),"",Historicals!H33/Historicals!D33-1)</f>
        <v/>
      </c>
      <c r="I9" s="41" t="str">
        <f>IF(OR(Historicals!I33="",Historicals!E33=""),"",Historicals!I33/Historicals!E33-1)</f>
        <v/>
      </c>
      <c r="J9" s="41" t="str">
        <f>IF(OR(Historicals!J33="",Historicals!F33=""),"",Historicals!J33/Historicals!F33-1)</f>
        <v/>
      </c>
      <c r="K9" s="41" t="str">
        <f>IF(OR(Historicals!K33="",Historicals!G33=""),"",Historicals!K33/Historicals!G33-1)</f>
        <v/>
      </c>
      <c r="L9" s="41" t="str">
        <f>IF(OR(Historicals!L33="",Historicals!H33=""),"",Historicals!L33/Historicals!H33-1)</f>
        <v/>
      </c>
      <c r="M9" s="41" t="str">
        <f>IF(OR(Historicals!M33="",Historicals!I33=""),"",Historicals!M33/Historicals!I33-1)</f>
        <v/>
      </c>
    </row>
    <row r="10" spans="1:13" x14ac:dyDescent="0.3">
      <c r="A10" s="1" t="s">
        <v>371</v>
      </c>
      <c r="B10" s="77">
        <f>IF(Historicals!B33="","",Historicals!B33*4)</f>
        <v>1504</v>
      </c>
      <c r="C10" s="77">
        <f>IF(Historicals!C33="","",Historicals!C33*4)</f>
        <v>3148</v>
      </c>
      <c r="D10" s="77">
        <f>IF(Historicals!D33="","",Historicals!D33*4)</f>
        <v>5528</v>
      </c>
      <c r="E10" s="77">
        <f>IF(Historicals!E33="","",Historicals!E33*4)</f>
        <v>8160</v>
      </c>
      <c r="F10" s="77">
        <f>IF(Historicals!F33="","",Historicals!F33*4)</f>
        <v>18924</v>
      </c>
      <c r="G10" s="77">
        <f>IF(Historicals!G33="","",Historicals!G33*4)</f>
        <v>46220</v>
      </c>
      <c r="H10" s="77" t="str">
        <f>IF(Historicals!H33="","",Historicals!H33*4)</f>
        <v/>
      </c>
      <c r="I10" s="77" t="str">
        <f>IF(Historicals!I33="","",Historicals!I33*4)</f>
        <v/>
      </c>
      <c r="J10" s="77" t="str">
        <f>IF(Historicals!J33="","",Historicals!J33*4)</f>
        <v/>
      </c>
      <c r="K10" s="77" t="str">
        <f>IF(Historicals!K33="","",Historicals!K33*4)</f>
        <v/>
      </c>
      <c r="L10" s="77" t="str">
        <f>IF(Historicals!L33="","",Historicals!L33*4)</f>
        <v/>
      </c>
      <c r="M10" s="77" t="str">
        <f>IF(Historicals!M33="","",Historicals!M33*4)</f>
        <v/>
      </c>
    </row>
    <row r="11" spans="1:13" x14ac:dyDescent="0.3">
      <c r="A11" s="1" t="s">
        <v>732</v>
      </c>
      <c r="B11" s="41">
        <f>IF(Historicals!B33="","",Historicals!B35/Historicals!B33)</f>
        <v>2.5106382978723403</v>
      </c>
      <c r="C11" s="41">
        <f>IF(Historicals!C33="","",Historicals!C35/Historicals!C33)</f>
        <v>1.7662007623888183</v>
      </c>
      <c r="D11" s="41">
        <f>IF(Historicals!D33="","",Historicals!D35/Historicals!D33)</f>
        <v>1.4811866859623735</v>
      </c>
      <c r="E11" s="41">
        <f>IF(Historicals!E33="","",Historicals!E35/Historicals!E33)</f>
        <v>1.4436274509803921</v>
      </c>
      <c r="F11" s="41">
        <f>IF(Historicals!F33="","",Historicals!F35/Historicals!F33)</f>
        <v>0.71591629676601143</v>
      </c>
      <c r="G11" s="41">
        <f>IF(Historicals!G33="","",Historicals!G35/Historicals!G33)</f>
        <v>0.48100389441800084</v>
      </c>
      <c r="H11" s="41" t="str">
        <f>IF(Historicals!H33="","",Historicals!H35/Historicals!H33)</f>
        <v/>
      </c>
      <c r="I11" s="41" t="str">
        <f>IF(Historicals!I33="","",Historicals!I35/Historicals!I33)</f>
        <v/>
      </c>
      <c r="J11" s="41" t="str">
        <f>IF(Historicals!J33="","",Historicals!J35/Historicals!J33)</f>
        <v/>
      </c>
      <c r="K11" s="41" t="str">
        <f>IF(Historicals!K33="","",Historicals!K35/Historicals!K33)</f>
        <v/>
      </c>
      <c r="L11" s="41" t="str">
        <f>IF(Historicals!L33="","",Historicals!L35/Historicals!L33)</f>
        <v/>
      </c>
      <c r="M11" s="41" t="str">
        <f>IF(Historicals!M33="","",Historicals!M35/Historicals!M33)</f>
        <v/>
      </c>
    </row>
    <row r="12" spans="1:13" x14ac:dyDescent="0.3">
      <c r="A12" s="1" t="s">
        <v>733</v>
      </c>
      <c r="B12" s="41">
        <f>IF(Historicals!B33="","",Historicals!B36/Historicals!B33)</f>
        <v>0.57978723404255317</v>
      </c>
      <c r="C12" s="41">
        <f>IF(Historicals!C33="","",Historicals!C36/Historicals!C33)</f>
        <v>0.40660736975857686</v>
      </c>
      <c r="D12" s="41">
        <f>IF(Historicals!D33="","",Historicals!D36/Historicals!D33)</f>
        <v>0.35383502170767006</v>
      </c>
      <c r="E12" s="41">
        <f>IF(Historicals!E33="","",Historicals!E36/Historicals!E33)</f>
        <v>0.39803921568627448</v>
      </c>
      <c r="F12" s="41">
        <f>IF(Historicals!F33="","",Historicals!F36/Historicals!F33)</f>
        <v>0.27372648488691609</v>
      </c>
      <c r="G12" s="41">
        <f>IF(Historicals!G33="","",Historicals!G36/Historicals!G33)</f>
        <v>0.16070964950237993</v>
      </c>
      <c r="H12" s="41" t="str">
        <f>IF(Historicals!H33="","",Historicals!H36/Historicals!H33)</f>
        <v/>
      </c>
      <c r="I12" s="41" t="str">
        <f>IF(Historicals!I33="","",Historicals!I36/Historicals!I33)</f>
        <v/>
      </c>
      <c r="J12" s="41" t="str">
        <f>IF(Historicals!J33="","",Historicals!J36/Historicals!J33)</f>
        <v/>
      </c>
      <c r="K12" s="41" t="str">
        <f>IF(Historicals!K33="","",Historicals!K36/Historicals!K33)</f>
        <v/>
      </c>
      <c r="L12" s="41" t="str">
        <f>IF(Historicals!L33="","",Historicals!L36/Historicals!L33)</f>
        <v/>
      </c>
      <c r="M12" s="41" t="str">
        <f>IF(Historicals!M33="","",Historicals!M36/Historicals!M33)</f>
        <v/>
      </c>
    </row>
    <row r="13" spans="1:13" x14ac:dyDescent="0.3">
      <c r="A13" s="1" t="s">
        <v>734</v>
      </c>
      <c r="B13" s="41">
        <f>IF(Historicals!B33="","",Historicals!B38/Historicals!B33)</f>
        <v>6.3829787234042548E-2</v>
      </c>
      <c r="C13" s="41">
        <f>IF(Historicals!C33="","",Historicals!C38/Historicals!C33)</f>
        <v>0.12198221092757307</v>
      </c>
      <c r="D13" s="41">
        <f>IF(Historicals!D33="","",Historicals!D38/Historicals!D33)</f>
        <v>0.14616497829232997</v>
      </c>
      <c r="E13" s="41">
        <f>IF(Historicals!E33="","",Historicals!E38/Historicals!E33)</f>
        <v>0.12058823529411765</v>
      </c>
      <c r="F13" s="41">
        <f>IF(Historicals!F33="","",Historicals!F38/Historicals!F33)</f>
        <v>0.21834707250052843</v>
      </c>
      <c r="G13" s="41">
        <f>IF(Historicals!G33="","",Historicals!G38/Historicals!G33)</f>
        <v>0.18476849848550411</v>
      </c>
      <c r="H13" s="41" t="str">
        <f>IF(Historicals!H33="","",Historicals!H38/Historicals!H33)</f>
        <v/>
      </c>
      <c r="I13" s="41" t="str">
        <f>IF(Historicals!I33="","",Historicals!I38/Historicals!I33)</f>
        <v/>
      </c>
      <c r="J13" s="41" t="str">
        <f>IF(Historicals!J33="","",Historicals!J38/Historicals!J33)</f>
        <v/>
      </c>
      <c r="K13" s="41" t="str">
        <f>IF(Historicals!K33="","",Historicals!K38/Historicals!K33)</f>
        <v/>
      </c>
      <c r="L13" s="41" t="str">
        <f>IF(Historicals!L33="","",Historicals!L38/Historicals!L33)</f>
        <v/>
      </c>
      <c r="M13" s="41" t="str">
        <f>IF(Historicals!M33="","",Historicals!M38/Historicals!M33)</f>
        <v/>
      </c>
    </row>
    <row r="14" spans="1:13" x14ac:dyDescent="0.3">
      <c r="A14" s="1" t="s">
        <v>735</v>
      </c>
      <c r="B14" s="41">
        <f>IF(Historicals!B33="","",Historicals!B39/Historicals!B33)</f>
        <v>0.33244680851063829</v>
      </c>
      <c r="C14" s="41">
        <f>IF(Historicals!C33="","",Historicals!C39/Historicals!C33)</f>
        <v>0.22998729351969505</v>
      </c>
      <c r="D14" s="41">
        <f>IF(Historicals!D33="","",Historicals!D39/Historicals!D33)</f>
        <v>0.16859623733719248</v>
      </c>
      <c r="E14" s="41">
        <f>IF(Historicals!E33="","",Historicals!E39/Historicals!E33)</f>
        <v>0.42794117647058821</v>
      </c>
      <c r="F14" s="41">
        <f>IF(Historicals!F33="","",Historicals!F39/Historicals!F33)</f>
        <v>0.14436694145001056</v>
      </c>
      <c r="G14" s="41">
        <f>IF(Historicals!G33="","",Historicals!G39/Historicals!G33)</f>
        <v>8.9225443530938989E-2</v>
      </c>
      <c r="H14" s="41" t="str">
        <f>IF(Historicals!H33="","",Historicals!H39/Historicals!H33)</f>
        <v/>
      </c>
      <c r="I14" s="41" t="str">
        <f>IF(Historicals!I33="","",Historicals!I39/Historicals!I33)</f>
        <v/>
      </c>
      <c r="J14" s="41" t="str">
        <f>IF(Historicals!J33="","",Historicals!J39/Historicals!J33)</f>
        <v/>
      </c>
      <c r="K14" s="41" t="str">
        <f>IF(Historicals!K33="","",Historicals!K39/Historicals!K33)</f>
        <v/>
      </c>
      <c r="L14" s="41" t="str">
        <f>IF(Historicals!L33="","",Historicals!L39/Historicals!L33)</f>
        <v/>
      </c>
      <c r="M14" s="41" t="str">
        <f>IF(Historicals!M33="","",Historicals!M39/Historicals!M33)</f>
        <v/>
      </c>
    </row>
    <row r="15" spans="1:13" x14ac:dyDescent="0.3">
      <c r="A15" s="1" t="s">
        <v>736</v>
      </c>
      <c r="B15" s="41">
        <f>IF(Historicals!B33="","",Historicals!B40/Historicals!B33)</f>
        <v>3.4867021276595747</v>
      </c>
      <c r="C15" s="41">
        <f>IF(Historicals!C33="","",Historicals!C40/Historicals!C33)</f>
        <v>2.5247776365946635</v>
      </c>
      <c r="D15" s="41">
        <f>IF(Historicals!D33="","",Historicals!D40/Historicals!D33)</f>
        <v>3.2351664254703327</v>
      </c>
      <c r="E15" s="41">
        <f>IF(Historicals!E33="","",Historicals!E40/Historicals!E33)</f>
        <v>2.3901960784313725</v>
      </c>
      <c r="F15" s="41">
        <f>IF(Historicals!F33="","",Historicals!F40/Historicals!F33)</f>
        <v>1.3523567956034666</v>
      </c>
      <c r="G15" s="41">
        <f>IF(Historicals!G33="","",Historicals!G40/Historicals!G33)</f>
        <v>0.91570748593682394</v>
      </c>
      <c r="H15" s="41" t="str">
        <f>IF(Historicals!H33="","",Historicals!H40/Historicals!H33)</f>
        <v/>
      </c>
      <c r="I15" s="41" t="str">
        <f>IF(Historicals!I33="","",Historicals!I40/Historicals!I33)</f>
        <v/>
      </c>
      <c r="J15" s="41" t="str">
        <f>IF(Historicals!J33="","",Historicals!J40/Historicals!J33)</f>
        <v/>
      </c>
      <c r="K15" s="41" t="str">
        <f>IF(Historicals!K33="","",Historicals!K40/Historicals!K33)</f>
        <v/>
      </c>
      <c r="L15" s="41" t="str">
        <f>IF(Historicals!L33="","",Historicals!L40/Historicals!L33)</f>
        <v/>
      </c>
      <c r="M15" s="41" t="str">
        <f>IF(Historicals!M33="","",Historicals!M40/Historicals!M33)</f>
        <v/>
      </c>
    </row>
    <row r="16" spans="1:13" x14ac:dyDescent="0.3">
      <c r="A16" s="10" t="s">
        <v>737</v>
      </c>
      <c r="B16" s="150">
        <f>IF(Historicals!B33="","",Historicals!B41/Historicals!B33)</f>
        <v>-2.4867021276595747</v>
      </c>
      <c r="C16" s="150">
        <f>IF(Historicals!C33="","",Historicals!C41/Historicals!C33)</f>
        <v>-1.5247776365946633</v>
      </c>
      <c r="D16" s="150">
        <f>IF(Historicals!D33="","",Historicals!D41/Historicals!D33)</f>
        <v>-2.2351664254703327</v>
      </c>
      <c r="E16" s="150">
        <f>IF(Historicals!E33="","",Historicals!E41/Historicals!E33)</f>
        <v>-1.3901960784313725</v>
      </c>
      <c r="F16" s="150">
        <f>IF(Historicals!F33="","",Historicals!F41/Historicals!F33)</f>
        <v>-0.3523567956034665</v>
      </c>
      <c r="G16" s="150">
        <f>IF(Historicals!G33="","",Historicals!G41/Historicals!G33)</f>
        <v>8.4292514063176116E-2</v>
      </c>
      <c r="H16" s="150" t="str">
        <f>IF(Historicals!H33="","",Historicals!H41/Historicals!H33)</f>
        <v/>
      </c>
      <c r="I16" s="150" t="str">
        <f>IF(Historicals!I33="","",Historicals!I41/Historicals!I33)</f>
        <v/>
      </c>
      <c r="J16" s="150" t="str">
        <f>IF(Historicals!J33="","",Historicals!J41/Historicals!J33)</f>
        <v/>
      </c>
      <c r="K16" s="150" t="str">
        <f>IF(Historicals!K33="","",Historicals!K41/Historicals!K33)</f>
        <v/>
      </c>
      <c r="L16" s="150" t="str">
        <f>IF(Historicals!L33="","",Historicals!L41/Historicals!L33)</f>
        <v/>
      </c>
      <c r="M16" s="150" t="str">
        <f>IF(Historicals!M33="","",Historicals!M41/Historicals!M33)</f>
        <v/>
      </c>
    </row>
    <row r="17" spans="1:13" x14ac:dyDescent="0.3">
      <c r="A17" s="1" t="s">
        <v>738</v>
      </c>
      <c r="B17" s="41">
        <f>IF(Historicals!B33="","",Historicals!B51/Historicals!B33)</f>
        <v>0.27925531914893614</v>
      </c>
      <c r="C17" s="41">
        <f>IF(Historicals!C33="","",Historicals!C51/Historicals!C33)</f>
        <v>0.22998729351969505</v>
      </c>
      <c r="D17" s="41">
        <f>IF(Historicals!D33="","",Historicals!D51/Historicals!D33)</f>
        <v>0.22069464544138928</v>
      </c>
      <c r="E17" s="41">
        <f>IF(Historicals!E33="","",Historicals!E51/Historicals!E33)</f>
        <v>0.28137254901960784</v>
      </c>
      <c r="F17" s="41">
        <f>IF(Historicals!F33="","",Historicals!F51/Historicals!F33)</f>
        <v>0.19530754597336716</v>
      </c>
      <c r="G17" s="41">
        <f>IF(Historicals!G33="","",Historicals!G51/Historicals!G33)</f>
        <v>0.10913024664647339</v>
      </c>
      <c r="H17" s="41" t="str">
        <f>IF(Historicals!H33="","",Historicals!H51/Historicals!H33)</f>
        <v/>
      </c>
      <c r="I17" s="41" t="str">
        <f>IF(Historicals!I33="","",Historicals!I51/Historicals!I33)</f>
        <v/>
      </c>
      <c r="J17" s="41" t="str">
        <f>IF(Historicals!J33="","",Historicals!J51/Historicals!J33)</f>
        <v/>
      </c>
      <c r="K17" s="41" t="str">
        <f>IF(Historicals!K33="","",Historicals!K51/Historicals!K33)</f>
        <v/>
      </c>
      <c r="L17" s="41" t="str">
        <f>IF(Historicals!L33="","",Historicals!L51/Historicals!L33)</f>
        <v/>
      </c>
      <c r="M17" s="41" t="str">
        <f>IF(Historicals!M33="","",Historicals!M51/Historicals!M33)</f>
        <v/>
      </c>
    </row>
    <row r="18" spans="1:13" x14ac:dyDescent="0.3">
      <c r="A18" s="10" t="s">
        <v>739</v>
      </c>
      <c r="B18" s="150">
        <f>IF(Historicals!B33="","",Historicals!B54/Historicals!B33)</f>
        <v>-2.2074468085106385</v>
      </c>
      <c r="C18" s="150">
        <f>IF(Historicals!C33="","",Historicals!C54/Historicals!C33)</f>
        <v>-1.2947903430749683</v>
      </c>
      <c r="D18" s="150">
        <f>IF(Historicals!D33="","",Historicals!D54/Historicals!D33)</f>
        <v>-0.9290882778581766</v>
      </c>
      <c r="E18" s="150">
        <f>IF(Historicals!E33="","",Historicals!E54/Historicals!E33)</f>
        <v>-0.84362745098039216</v>
      </c>
      <c r="F18" s="150">
        <f>IF(Historicals!F33="","",Historicals!F54/Historicals!F33)</f>
        <v>-0.13041640245191291</v>
      </c>
      <c r="G18" s="150">
        <f>IF(Historicals!G33="","",Historicals!G54/Historicals!G33)</f>
        <v>0.1934227607096495</v>
      </c>
      <c r="H18" s="150" t="str">
        <f>IF(Historicals!H33="","",Historicals!H54/Historicals!H33)</f>
        <v/>
      </c>
      <c r="I18" s="150" t="str">
        <f>IF(Historicals!I33="","",Historicals!I54/Historicals!I33)</f>
        <v/>
      </c>
      <c r="J18" s="150" t="str">
        <f>IF(Historicals!J33="","",Historicals!J54/Historicals!J33)</f>
        <v/>
      </c>
      <c r="K18" s="150" t="str">
        <f>IF(Historicals!K33="","",Historicals!K54/Historicals!K33)</f>
        <v/>
      </c>
      <c r="L18" s="150" t="str">
        <f>IF(Historicals!L33="","",Historicals!L54/Historicals!L33)</f>
        <v/>
      </c>
      <c r="M18" s="150" t="str">
        <f>IF(Historicals!M33="","",Historicals!M54/Historicals!M33)</f>
        <v/>
      </c>
    </row>
    <row r="19" spans="1:13" x14ac:dyDescent="0.3">
      <c r="A19" s="1" t="s">
        <v>740</v>
      </c>
      <c r="B19" s="31" t="str">
        <f>"–"</f>
        <v>–</v>
      </c>
      <c r="C19" s="41">
        <f>IF(OR(Historicals!C33="",Historicals!B33=""),"",(Historicals!C54-Historicals!B54)/(Historicals!C33-Historicals!B33))</f>
        <v>-0.45985401459854014</v>
      </c>
      <c r="D19" s="41">
        <f>IF(OR(Historicals!D33="",Historicals!C33=""),"",(Historicals!D54-Historicals!C54)/(Historicals!D33-Historicals!C33))</f>
        <v>-0.44537815126050423</v>
      </c>
      <c r="E19" s="41">
        <f>IF(OR(Historicals!E33="",Historicals!D33=""),"",(Historicals!E54-Historicals!D54)/(Historicals!E33-Historicals!D33))</f>
        <v>-0.66413373860182368</v>
      </c>
      <c r="F19" s="41">
        <f>IF(OR(Historicals!F33="",Historicals!E33=""),"",(Historicals!F54-Historicals!E54)/(Historicals!F33-Historicals!E33))</f>
        <v>0.41025641025641024</v>
      </c>
      <c r="G19" s="41">
        <f>IF(OR(Historicals!G33="",Historicals!F33=""),"",(Historicals!G54-Historicals!F54)/(Historicals!G33-Historicals!F33))</f>
        <v>0.41793669402110201</v>
      </c>
      <c r="H19" s="41" t="str">
        <f>IF(OR(Historicals!H33="",Historicals!G33=""),"",(Historicals!H54-Historicals!G54)/(Historicals!H33-Historicals!G33))</f>
        <v/>
      </c>
      <c r="I19" s="41" t="str">
        <f>IF(OR(Historicals!I33="",Historicals!H33=""),"",(Historicals!I54-Historicals!H54)/(Historicals!I33-Historicals!H33))</f>
        <v/>
      </c>
      <c r="J19" s="41" t="str">
        <f>IF(OR(Historicals!J33="",Historicals!I33=""),"",(Historicals!J54-Historicals!I54)/(Historicals!J33-Historicals!I33))</f>
        <v/>
      </c>
      <c r="K19" s="41" t="str">
        <f>IF(OR(Historicals!K33="",Historicals!J33=""),"",(Historicals!K54-Historicals!J54)/(Historicals!K33-Historicals!J33))</f>
        <v/>
      </c>
      <c r="L19" s="41" t="str">
        <f>IF(OR(Historicals!L33="",Historicals!K33=""),"",(Historicals!L54-Historicals!K54)/(Historicals!L33-Historicals!K33))</f>
        <v/>
      </c>
      <c r="M19" s="41" t="str">
        <f>IF(OR(Historicals!M33="",Historicals!L33=""),"",(Historicals!M54-Historicals!L54)/(Historicals!M33-Historicals!L33))</f>
        <v/>
      </c>
    </row>
    <row r="20" spans="1:13" x14ac:dyDescent="0.3">
      <c r="A20" s="1" t="s">
        <v>741</v>
      </c>
      <c r="B20" s="41">
        <f>IF(Historicals!B33="","",1-Historicals!B35/Historicals!B33)</f>
        <v>-1.5106382978723403</v>
      </c>
      <c r="C20" s="41">
        <f>IF(Historicals!C33="","",1-Historicals!C35/Historicals!C33)</f>
        <v>-0.76620076238881829</v>
      </c>
      <c r="D20" s="41">
        <f>IF(Historicals!D33="","",1-Historicals!D35/Historicals!D33)</f>
        <v>-0.48118668596237346</v>
      </c>
      <c r="E20" s="41">
        <f>IF(Historicals!E33="","",1-Historicals!E35/Historicals!E33)</f>
        <v>-0.44362745098039214</v>
      </c>
      <c r="F20" s="41">
        <f>IF(Historicals!F33="","",1-Historicals!F35/Historicals!F33)</f>
        <v>0.28408370323398857</v>
      </c>
      <c r="G20" s="41">
        <f>IF(Historicals!G33="","",1-Historicals!G35/Historicals!G33)</f>
        <v>0.51899610558199916</v>
      </c>
      <c r="H20" s="41" t="str">
        <f>IF(Historicals!H33="","",1-Historicals!H35/Historicals!H33)</f>
        <v/>
      </c>
      <c r="I20" s="41" t="str">
        <f>IF(Historicals!I33="","",1-Historicals!I35/Historicals!I33)</f>
        <v/>
      </c>
      <c r="J20" s="41" t="str">
        <f>IF(Historicals!J33="","",1-Historicals!J35/Historicals!J33)</f>
        <v/>
      </c>
      <c r="K20" s="41" t="str">
        <f>IF(Historicals!K33="","",1-Historicals!K35/Historicals!K33)</f>
        <v/>
      </c>
      <c r="L20" s="41" t="str">
        <f>IF(Historicals!L33="","",1-Historicals!L35/Historicals!L33)</f>
        <v/>
      </c>
      <c r="M20" s="41" t="str">
        <f>IF(Historicals!M33="","",1-Historicals!M35/Historicals!M33)</f>
        <v/>
      </c>
    </row>
    <row r="21" spans="1:13" x14ac:dyDescent="0.3">
      <c r="A21" s="1" t="s">
        <v>742</v>
      </c>
      <c r="B21" s="127">
        <f>IF(Historicals!B33="","",Historicals!B33/Historicals!B35)</f>
        <v>0.39830508474576271</v>
      </c>
      <c r="C21" s="127">
        <f>IF(Historicals!C33="","",Historicals!C33/Historicals!C35)</f>
        <v>0.56618705035971229</v>
      </c>
      <c r="D21" s="127">
        <f>IF(Historicals!D33="","",Historicals!D33/Historicals!D35)</f>
        <v>0.67513434294088914</v>
      </c>
      <c r="E21" s="127">
        <f>IF(Historicals!E33="","",Historicals!E33/Historicals!E35)</f>
        <v>0.69269949066213921</v>
      </c>
      <c r="F21" s="127">
        <f>IF(Historicals!F33="","",Historicals!F33/Historicals!F35)</f>
        <v>1.3968113374667848</v>
      </c>
      <c r="G21" s="127">
        <f>IF(Historicals!G33="","",Historicals!G33/Historicals!G35)</f>
        <v>2.0789852464915439</v>
      </c>
      <c r="H21" s="127" t="str">
        <f>IF(Historicals!H33="","",Historicals!H33/Historicals!H35)</f>
        <v/>
      </c>
      <c r="I21" s="127" t="str">
        <f>IF(Historicals!I33="","",Historicals!I33/Historicals!I35)</f>
        <v/>
      </c>
      <c r="J21" s="127" t="str">
        <f>IF(Historicals!J33="","",Historicals!J33/Historicals!J35)</f>
        <v/>
      </c>
      <c r="K21" s="127" t="str">
        <f>IF(Historicals!K33="","",Historicals!K33/Historicals!K35)</f>
        <v/>
      </c>
      <c r="L21" s="127" t="str">
        <f>IF(Historicals!L33="","",Historicals!L33/Historicals!L35)</f>
        <v/>
      </c>
      <c r="M21" s="127" t="str">
        <f>IF(Historicals!M33="","",Historicals!M33/Historicals!M35)</f>
        <v/>
      </c>
    </row>
    <row r="22" spans="1:13" x14ac:dyDescent="0.3">
      <c r="A22" s="1" t="s">
        <v>743</v>
      </c>
      <c r="B22" s="78">
        <f>IF(Historicals!B168="","",Historicals!B168)</f>
        <v>400</v>
      </c>
      <c r="C22" s="78" t="str">
        <f>IF(Historicals!C168="","",Historicals!C168)</f>
        <v/>
      </c>
      <c r="D22" s="78">
        <f>IF(Historicals!D168="","",Historicals!D168)</f>
        <v>950</v>
      </c>
      <c r="E22" s="78">
        <f>IF(Historicals!E168="","",Historicals!E168)</f>
        <v>1500</v>
      </c>
      <c r="F22" s="78" t="str">
        <f>IF(Historicals!F168="","",Historicals!F168)</f>
        <v/>
      </c>
      <c r="G22" s="78">
        <f>IF(Historicals!G168="","",Historicals!G168)</f>
        <v>6000</v>
      </c>
      <c r="H22" s="78">
        <f>IF(Historicals!H168="","",Historicals!H168)</f>
        <v>11900</v>
      </c>
      <c r="I22" s="78" t="str">
        <f>IF(Historicals!I168="","",Historicals!I168)</f>
        <v/>
      </c>
      <c r="J22" s="78" t="str">
        <f>IF(Historicals!J168="","",Historicals!J168)</f>
        <v/>
      </c>
      <c r="K22" s="78" t="str">
        <f>IF(Historicals!K168="","",Historicals!K168)</f>
        <v/>
      </c>
      <c r="L22" s="78" t="str">
        <f>IF(Historicals!L168="","",Historicals!L168)</f>
        <v/>
      </c>
      <c r="M22" s="78" t="str">
        <f>IF(Historicals!M168="","",Historicals!M168)</f>
        <v/>
      </c>
    </row>
    <row r="23" spans="1:13" x14ac:dyDescent="0.3">
      <c r="A23" s="1" t="s">
        <v>744</v>
      </c>
      <c r="B23" s="78" t="str">
        <f>IF(Historicals!B172="","",Historicals!B172)</f>
        <v/>
      </c>
      <c r="C23" s="78" t="str">
        <f>IF(Historicals!C172="","",Historicals!C172)</f>
        <v/>
      </c>
      <c r="D23" s="78" t="str">
        <f>IF(Historicals!D172="","",Historicals!D172)</f>
        <v/>
      </c>
      <c r="E23" s="78" t="str">
        <f>IF(Historicals!E172="","",Historicals!E172)</f>
        <v/>
      </c>
      <c r="F23" s="78" t="str">
        <f>IF(Historicals!F172="","",Historicals!F172)</f>
        <v/>
      </c>
      <c r="G23" s="78" t="str">
        <f>IF(Historicals!G172="","",Historicals!G172)</f>
        <v/>
      </c>
      <c r="H23" s="78">
        <f>IF(Historicals!H172="","",Historicals!H172)</f>
        <v>5300</v>
      </c>
      <c r="I23" s="78" t="str">
        <f>IF(Historicals!I172="","",Historicals!I172)</f>
        <v/>
      </c>
      <c r="J23" s="78" t="str">
        <f>IF(Historicals!J172="","",Historicals!J172)</f>
        <v/>
      </c>
      <c r="K23" s="78" t="str">
        <f>IF(Historicals!K172="","",Historicals!K172)</f>
        <v/>
      </c>
      <c r="L23" s="78" t="str">
        <f>IF(Historicals!L172="","",Historicals!L172)</f>
        <v/>
      </c>
      <c r="M23" s="78" t="str">
        <f>IF(Historicals!M172="","",Historicals!M172)</f>
        <v/>
      </c>
    </row>
    <row r="24" spans="1:13" x14ac:dyDescent="0.3">
      <c r="A24" s="1" t="s">
        <v>745</v>
      </c>
      <c r="B24" s="77" t="str">
        <f>IF(Historicals!B174="","",Historicals!B174)</f>
        <v/>
      </c>
      <c r="C24" s="77" t="str">
        <f>IF(Historicals!C174="","",Historicals!C174)</f>
        <v/>
      </c>
      <c r="D24" s="77" t="str">
        <f>IF(Historicals!D174="","",Historicals!D174)</f>
        <v/>
      </c>
      <c r="E24" s="77" t="str">
        <f>IF(Historicals!E174="","",Historicals!E174)</f>
        <v/>
      </c>
      <c r="F24" s="77" t="str">
        <f>IF(Historicals!F174="","",Historicals!F174)</f>
        <v/>
      </c>
      <c r="G24" s="77" t="str">
        <f>IF(Historicals!G174="","",Historicals!G174)</f>
        <v/>
      </c>
      <c r="H24" s="77">
        <f>IF(Historicals!H174="","",Historicals!H174)</f>
        <v>34980</v>
      </c>
      <c r="I24" s="77" t="str">
        <f>IF(Historicals!I174="","",Historicals!I174)</f>
        <v/>
      </c>
      <c r="J24" s="77" t="str">
        <f>IF(Historicals!J174="","",Historicals!J174)</f>
        <v/>
      </c>
      <c r="K24" s="77" t="str">
        <f>IF(Historicals!K174="","",Historicals!K174)</f>
        <v/>
      </c>
      <c r="L24" s="77" t="str">
        <f>IF(Historicals!L174="","",Historicals!L174)</f>
        <v/>
      </c>
      <c r="M24" s="77" t="str">
        <f>IF(Historicals!M174="","",Historicals!M174)</f>
        <v/>
      </c>
    </row>
    <row r="25" spans="1:13" ht="3" customHeight="1" x14ac:dyDescent="0.3"/>
    <row r="26" spans="1:13" x14ac:dyDescent="0.3">
      <c r="A26" s="5" t="s">
        <v>728</v>
      </c>
      <c r="B26" s="5"/>
      <c r="C26" s="5"/>
      <c r="D26" s="5"/>
      <c r="E26" s="5"/>
      <c r="F26" s="5"/>
      <c r="G26" s="5"/>
      <c r="H26" s="5"/>
      <c r="I26" s="5"/>
      <c r="J26" s="5"/>
      <c r="K26" s="5"/>
    </row>
    <row r="27" spans="1:13" x14ac:dyDescent="0.3">
      <c r="A27" s="6" t="s">
        <v>177</v>
      </c>
      <c r="B27" s="7" t="str">
        <f>Historicals!B6</f>
        <v>FY2023A</v>
      </c>
      <c r="C27" s="7" t="str">
        <f>Historicals!C6</f>
        <v>FY2024A</v>
      </c>
      <c r="D27" s="7" t="str">
        <f>Historicals!D6</f>
        <v>FY2025A</v>
      </c>
      <c r="E27" s="7" t="str">
        <f>Historicals!E6</f>
        <v>6M 2025A</v>
      </c>
      <c r="F27" s="7" t="str">
        <f>Historicals!F6</f>
        <v>6M 2026A</v>
      </c>
      <c r="G27" s="7" t="str">
        <f>Historicals!G6</f>
        <v>9M 2026A</v>
      </c>
      <c r="H27" s="7" t="str">
        <f>Historicals!H6</f>
        <v>FY2026A</v>
      </c>
      <c r="I27" s="7" t="str">
        <f>Historicals!I6</f>
        <v>3M 2027A</v>
      </c>
      <c r="J27" s="7" t="str">
        <f>Historicals!J6</f>
        <v>6M 2027A</v>
      </c>
      <c r="K27" s="7" t="str">
        <f>Historicals!K6</f>
        <v>9M 2027A</v>
      </c>
    </row>
    <row r="28" spans="1:13" x14ac:dyDescent="0.3">
      <c r="A28" s="10" t="s">
        <v>14</v>
      </c>
      <c r="B28" s="87">
        <f>IF(Historicals!B7="","",Historicals!B7)</f>
        <v>41</v>
      </c>
      <c r="C28" s="87">
        <f>IF(Historicals!C7="","",Historicals!C7)</f>
        <v>386</v>
      </c>
      <c r="D28" s="87">
        <f>IF(Historicals!D7="","",Historicals!D7)</f>
        <v>4585</v>
      </c>
      <c r="E28" s="87">
        <f>IF(Historicals!E7="","",Historicals!E7)</f>
        <v>1163</v>
      </c>
      <c r="F28" s="87">
        <f>IF(Historicals!F7="","",Historicals!F7)</f>
        <v>16286</v>
      </c>
      <c r="G28" s="87" t="str">
        <f>IF(Historicals!G7="","",Historicals!G7)</f>
        <v/>
      </c>
      <c r="H28" s="87" t="str">
        <f>IF(Historicals!H7="","",Historicals!H7)</f>
        <v/>
      </c>
      <c r="I28" s="87" t="str">
        <f>IF(Historicals!I7="","",Historicals!I7)</f>
        <v/>
      </c>
      <c r="J28" s="87" t="str">
        <f>IF(Historicals!J7="","",Historicals!J7)</f>
        <v/>
      </c>
      <c r="K28" s="87" t="str">
        <f>IF(Historicals!K7="","",Historicals!K7)</f>
        <v/>
      </c>
    </row>
    <row r="29" spans="1:13" x14ac:dyDescent="0.3">
      <c r="A29" s="1" t="s">
        <v>732</v>
      </c>
      <c r="B29" s="41">
        <f>IF(Historicals!B7="","",Historicals!B9/Historicals!B7)</f>
        <v>10.560975609756097</v>
      </c>
      <c r="C29" s="41">
        <f>IF(Historicals!C7="","",Historicals!C9/Historicals!C7)</f>
        <v>6.5336787564766841</v>
      </c>
      <c r="D29" s="41">
        <f>IF(Historicals!D7="","",Historicals!D9/Historicals!D7)</f>
        <v>1.5978189749182115</v>
      </c>
      <c r="E29" s="41">
        <f>IF(Historicals!E7="","",Historicals!E9/Historicals!E7)</f>
        <v>2.0068787618228718</v>
      </c>
      <c r="F29" s="41">
        <f>IF(Historicals!F7="","",Historicals!F9/Historicals!F7)</f>
        <v>0.54924475009210361</v>
      </c>
      <c r="G29" s="41" t="str">
        <f>IF(Historicals!G7="","",Historicals!G9/Historicals!G7)</f>
        <v/>
      </c>
      <c r="H29" s="41" t="str">
        <f>IF(Historicals!H7="","",Historicals!H9/Historicals!H7)</f>
        <v/>
      </c>
      <c r="I29" s="41" t="str">
        <f>IF(Historicals!I7="","",Historicals!I9/Historicals!I7)</f>
        <v/>
      </c>
      <c r="J29" s="41" t="str">
        <f>IF(Historicals!J7="","",Historicals!J9/Historicals!J7)</f>
        <v/>
      </c>
      <c r="K29" s="41" t="str">
        <f>IF(Historicals!K7="","",Historicals!K9/Historicals!K7)</f>
        <v/>
      </c>
    </row>
    <row r="30" spans="1:13" x14ac:dyDescent="0.3">
      <c r="A30" s="1" t="s">
        <v>733</v>
      </c>
      <c r="B30" s="41">
        <f>IF(Historicals!B7="","",Historicals!B10/Historicals!B7)</f>
        <v>2.3170731707317072</v>
      </c>
      <c r="C30" s="41">
        <f>IF(Historicals!C7="","",Historicals!C10/Historicals!C7)</f>
        <v>1.1761658031088082</v>
      </c>
      <c r="D30" s="41">
        <f>IF(Historicals!D7="","",Historicals!D10/Historicals!D7)</f>
        <v>0.40109051254089423</v>
      </c>
      <c r="E30" s="41">
        <f>IF(Historicals!E7="","",Historicals!E10/Historicals!E7)</f>
        <v>0.46259673258813416</v>
      </c>
      <c r="F30" s="41">
        <f>IF(Historicals!F7="","",Historicals!F10/Historicals!F7)</f>
        <v>0.19354046420238241</v>
      </c>
      <c r="G30" s="41" t="str">
        <f>IF(Historicals!G7="","",Historicals!G10/Historicals!G7)</f>
        <v/>
      </c>
      <c r="H30" s="41" t="str">
        <f>IF(Historicals!H7="","",Historicals!H10/Historicals!H7)</f>
        <v/>
      </c>
      <c r="I30" s="41" t="str">
        <f>IF(Historicals!I7="","",Historicals!I10/Historicals!I7)</f>
        <v/>
      </c>
      <c r="J30" s="41" t="str">
        <f>IF(Historicals!J7="","",Historicals!J10/Historicals!J7)</f>
        <v/>
      </c>
      <c r="K30" s="41" t="str">
        <f>IF(Historicals!K7="","",Historicals!K10/Historicals!K7)</f>
        <v/>
      </c>
    </row>
    <row r="31" spans="1:13" x14ac:dyDescent="0.3">
      <c r="A31" s="1" t="s">
        <v>734</v>
      </c>
      <c r="B31" s="41">
        <f>IF(Historicals!B7="","",Historicals!B12/Historicals!B7)</f>
        <v>4.878048780487805E-2</v>
      </c>
      <c r="C31" s="41">
        <f>IF(Historicals!C7="","",Historicals!C12/Historicals!C7)</f>
        <v>0.11139896373056994</v>
      </c>
      <c r="D31" s="41">
        <f>IF(Historicals!D7="","",Historicals!D12/Historicals!D7)</f>
        <v>0.12388222464558342</v>
      </c>
      <c r="E31" s="41">
        <f>IF(Historicals!E7="","",Historicals!E12/Historicals!E7)</f>
        <v>0.10318142734307825</v>
      </c>
      <c r="F31" s="41">
        <f>IF(Historicals!F7="","",Historicals!F12/Historicals!F7)</f>
        <v>0.19452290310696305</v>
      </c>
      <c r="G31" s="41" t="str">
        <f>IF(Historicals!G7="","",Historicals!G12/Historicals!G7)</f>
        <v/>
      </c>
      <c r="H31" s="41" t="str">
        <f>IF(Historicals!H7="","",Historicals!H12/Historicals!H7)</f>
        <v/>
      </c>
      <c r="I31" s="41" t="str">
        <f>IF(Historicals!I7="","",Historicals!I12/Historicals!I7)</f>
        <v/>
      </c>
      <c r="J31" s="41" t="str">
        <f>IF(Historicals!J7="","",Historicals!J12/Historicals!J7)</f>
        <v/>
      </c>
      <c r="K31" s="41" t="str">
        <f>IF(Historicals!K7="","",Historicals!K12/Historicals!K7)</f>
        <v/>
      </c>
    </row>
    <row r="32" spans="1:13" x14ac:dyDescent="0.3">
      <c r="A32" s="1" t="s">
        <v>735</v>
      </c>
      <c r="B32" s="41">
        <f>IF(Historicals!B7="","",Historicals!B13/Historicals!B7)</f>
        <v>1.5121951219512195</v>
      </c>
      <c r="C32" s="41">
        <f>IF(Historicals!C7="","",Historicals!C13/Historicals!C7)</f>
        <v>0.89896373056994816</v>
      </c>
      <c r="D32" s="41">
        <f>IF(Historicals!D7="","",Historicals!D13/Historicals!D7)</f>
        <v>0.30796074154852782</v>
      </c>
      <c r="E32" s="41">
        <f>IF(Historicals!E7="","",Historicals!E13/Historicals!E7)</f>
        <v>0.26311263972484955</v>
      </c>
      <c r="F32" s="41">
        <f>IF(Historicals!F7="","",Historicals!F13/Historicals!F7)</f>
        <v>0.10524376765319907</v>
      </c>
      <c r="G32" s="41" t="str">
        <f>IF(Historicals!G7="","",Historicals!G13/Historicals!G7)</f>
        <v/>
      </c>
      <c r="H32" s="41" t="str">
        <f>IF(Historicals!H7="","",Historicals!H13/Historicals!H7)</f>
        <v/>
      </c>
      <c r="I32" s="41" t="str">
        <f>IF(Historicals!I7="","",Historicals!I13/Historicals!I7)</f>
        <v/>
      </c>
      <c r="J32" s="41" t="str">
        <f>IF(Historicals!J7="","",Historicals!J13/Historicals!J7)</f>
        <v/>
      </c>
      <c r="K32" s="41" t="str">
        <f>IF(Historicals!K7="","",Historicals!K13/Historicals!K7)</f>
        <v/>
      </c>
    </row>
    <row r="33" spans="1:11" x14ac:dyDescent="0.3">
      <c r="A33" s="10" t="s">
        <v>737</v>
      </c>
      <c r="B33" s="150">
        <f>IF(Historicals!B7="","",Historicals!B15/Historicals!B7)</f>
        <v>-13.439024390243903</v>
      </c>
      <c r="C33" s="150">
        <f>IF(Historicals!C7="","",Historicals!C15/Historicals!C7)</f>
        <v>-7.7202072538860103</v>
      </c>
      <c r="D33" s="150">
        <f>IF(Historicals!D7="","",Historicals!D15/Historicals!D7)</f>
        <v>-1.7579062159214831</v>
      </c>
      <c r="E33" s="150">
        <f>IF(Historicals!E7="","",Historicals!E15/Historicals!E7)</f>
        <v>-1.8357695614789338</v>
      </c>
      <c r="F33" s="150">
        <f>IF(Historicals!F7="","",Historicals!F15/Historicals!F7)</f>
        <v>-4.2551885054648166E-2</v>
      </c>
      <c r="G33" s="150" t="str">
        <f>IF(Historicals!G7="","",Historicals!G15/Historicals!G7)</f>
        <v/>
      </c>
      <c r="H33" s="150" t="str">
        <f>IF(Historicals!H7="","",Historicals!H15/Historicals!H7)</f>
        <v/>
      </c>
      <c r="I33" s="150" t="str">
        <f>IF(Historicals!I7="","",Historicals!I15/Historicals!I7)</f>
        <v/>
      </c>
      <c r="J33" s="150" t="str">
        <f>IF(Historicals!J7="","",Historicals!J15/Historicals!J7)</f>
        <v/>
      </c>
      <c r="K33" s="150" t="str">
        <f>IF(Historicals!K7="","",Historicals!K15/Historicals!K7)</f>
        <v/>
      </c>
    </row>
    <row r="34" spans="1:11" x14ac:dyDescent="0.3">
      <c r="A34" s="10" t="s">
        <v>186</v>
      </c>
      <c r="B34" s="150">
        <f>IF(Historicals!B7="","",Historicals!B27/Historicals!B7)</f>
        <v>-12.731707317073171</v>
      </c>
      <c r="C34" s="150">
        <f>IF(Historicals!C7="","",Historicals!C27/Historicals!C7)</f>
        <v>-7.2227979274611398</v>
      </c>
      <c r="D34" s="150">
        <f>IF(Historicals!D7="","",Historicals!D27/Historicals!D7)</f>
        <v>-1.0586695747001091</v>
      </c>
      <c r="E34" s="150">
        <f>IF(Historicals!E7="","",Historicals!E27/Historicals!E7)</f>
        <v>-1.589853826311264</v>
      </c>
      <c r="F34" s="150">
        <f>IF(Historicals!F7="","",Historicals!F27/Historicals!F7)</f>
        <v>9.9349134225715341E-2</v>
      </c>
      <c r="G34" s="150" t="str">
        <f>IF(Historicals!G7="","",Historicals!G27/Historicals!G7)</f>
        <v/>
      </c>
      <c r="H34" s="150" t="str">
        <f>IF(Historicals!H7="","",Historicals!H27/Historicals!H7)</f>
        <v/>
      </c>
      <c r="I34" s="150" t="str">
        <f>IF(Historicals!I7="","",Historicals!I27/Historicals!I7)</f>
        <v/>
      </c>
      <c r="J34" s="150" t="str">
        <f>IF(Historicals!J7="","",Historicals!J27/Historicals!J7)</f>
        <v/>
      </c>
      <c r="K34" s="150" t="str">
        <f>IF(Historicals!K7="","",Historicals!K27/Historicals!K7)</f>
        <v/>
      </c>
    </row>
    <row r="35" spans="1:11" x14ac:dyDescent="0.3">
      <c r="A35" s="1" t="s">
        <v>746</v>
      </c>
      <c r="B35" s="41">
        <f>IF(Historicals!B7="","",Historicals!B116/Historicals!B7)</f>
        <v>0.70731707317073167</v>
      </c>
      <c r="C35" s="41">
        <f>IF(Historicals!C7="","",Historicals!C116/Historicals!C7)</f>
        <v>0.49740932642487046</v>
      </c>
      <c r="D35" s="41">
        <f>IF(Historicals!D7="","",Historicals!D116/Historicals!D7)</f>
        <v>0.25256270447110141</v>
      </c>
      <c r="E35" s="41">
        <f>IF(Historicals!E7="","",Historicals!E116/Historicals!E7)</f>
        <v>0.23989681857265693</v>
      </c>
      <c r="F35" s="41">
        <f>IF(Historicals!F7="","",Historicals!F116/Historicals!F7)</f>
        <v>0.13416431290679112</v>
      </c>
      <c r="G35" s="41" t="str">
        <f>IF(Historicals!G7="","",Historicals!G116/Historicals!G7)</f>
        <v/>
      </c>
      <c r="H35" s="41" t="str">
        <f>IF(Historicals!H7="","",Historicals!H116/Historicals!H7)</f>
        <v/>
      </c>
      <c r="I35" s="41" t="str">
        <f>IF(Historicals!I7="","",Historicals!I116/Historicals!I7)</f>
        <v/>
      </c>
      <c r="J35" s="41" t="str">
        <f>IF(Historicals!J7="","",Historicals!J116/Historicals!J7)</f>
        <v/>
      </c>
      <c r="K35" s="41" t="str">
        <f>IF(Historicals!K7="","",Historicals!K116/Historicals!K7)</f>
        <v/>
      </c>
    </row>
    <row r="36" spans="1:11" x14ac:dyDescent="0.3">
      <c r="A36" s="1" t="s">
        <v>747</v>
      </c>
      <c r="B36" s="41">
        <f>IF(Historicals!B7="","",Historicals!B16/Historicals!B7)</f>
        <v>1.6829268292682926</v>
      </c>
      <c r="C36" s="41">
        <f>IF(Historicals!C7="","",Historicals!C16/Historicals!C7)</f>
        <v>0.27461139896373055</v>
      </c>
      <c r="D36" s="41">
        <f>IF(Historicals!D7="","",Historicals!D16/Historicals!D7)</f>
        <v>9.4002181025081788E-2</v>
      </c>
      <c r="E36" s="41">
        <f>IF(Historicals!E7="","",Historicals!E16/Historicals!E7)</f>
        <v>9.8882201203783313E-2</v>
      </c>
      <c r="F36" s="41">
        <f>IF(Historicals!F7="","",Historicals!F16/Historicals!F7)</f>
        <v>6.8218101436816891E-2</v>
      </c>
      <c r="G36" s="41" t="str">
        <f>IF(Historicals!G7="","",Historicals!G16/Historicals!G7)</f>
        <v/>
      </c>
      <c r="H36" s="41" t="str">
        <f>IF(Historicals!H7="","",Historicals!H16/Historicals!H7)</f>
        <v/>
      </c>
      <c r="I36" s="41" t="str">
        <f>IF(Historicals!I7="","",Historicals!I16/Historicals!I7)</f>
        <v/>
      </c>
      <c r="J36" s="41" t="str">
        <f>IF(Historicals!J7="","",Historicals!J16/Historicals!J7)</f>
        <v/>
      </c>
      <c r="K36" s="41" t="str">
        <f>IF(Historicals!K7="","",Historicals!K16/Historicals!K7)</f>
        <v/>
      </c>
    </row>
    <row r="37" spans="1:11" x14ac:dyDescent="0.3">
      <c r="A37" s="1" t="s">
        <v>748</v>
      </c>
      <c r="B37" s="41">
        <f>IF(Historicals!B7="","",Historicals!B128/Historicals!B7)</f>
        <v>-39.68292682926829</v>
      </c>
      <c r="C37" s="41">
        <f>IF(Historicals!C7="","",Historicals!C128/Historicals!C7)</f>
        <v>-14.746113989637307</v>
      </c>
      <c r="D37" s="41">
        <f>IF(Historicals!D7="","",Historicals!D128/Historicals!D7)</f>
        <v>-0.57513631406761179</v>
      </c>
      <c r="E37" s="41">
        <f>IF(Historicals!E7="","",Historicals!E128/Historicals!E7)</f>
        <v>-1.3009458297506449</v>
      </c>
      <c r="F37" s="41">
        <f>IF(Historicals!F7="","",Historicals!F128/Historicals!F7)</f>
        <v>0.24125015350607884</v>
      </c>
      <c r="G37" s="41" t="str">
        <f>IF(Historicals!G7="","",Historicals!G128/Historicals!G7)</f>
        <v/>
      </c>
      <c r="H37" s="41" t="str">
        <f>IF(Historicals!H7="","",Historicals!H128/Historicals!H7)</f>
        <v/>
      </c>
      <c r="I37" s="41" t="str">
        <f>IF(Historicals!I7="","",Historicals!I128/Historicals!I7)</f>
        <v/>
      </c>
      <c r="J37" s="41" t="str">
        <f>IF(Historicals!J7="","",Historicals!J128/Historicals!J7)</f>
        <v/>
      </c>
      <c r="K37" s="41" t="str">
        <f>IF(Historicals!K7="","",Historicals!K128/Historicals!K7)</f>
        <v/>
      </c>
    </row>
    <row r="38" spans="1:11" x14ac:dyDescent="0.3">
      <c r="A38" s="1" t="s">
        <v>749</v>
      </c>
      <c r="B38" s="41">
        <f>IF(Historicals!B7="","",-Historicals!B130/Historicals!B7)</f>
        <v>4.878048780487805E-2</v>
      </c>
      <c r="C38" s="41">
        <f>IF(Historicals!C7="","",-Historicals!C130/Historicals!C7)</f>
        <v>3.8860103626943004E-2</v>
      </c>
      <c r="D38" s="41">
        <f>IF(Historicals!D7="","",-Historicals!D130/Historicals!D7)</f>
        <v>2.8571428571428571E-2</v>
      </c>
      <c r="E38" s="41">
        <f>IF(Historicals!E7="","",-Historicals!E130/Historicals!E7)</f>
        <v>1.5477214101461736E-2</v>
      </c>
      <c r="F38" s="41">
        <f>IF(Historicals!F7="","",-Historicals!F130/Historicals!F7)</f>
        <v>2.959597200049122E-2</v>
      </c>
      <c r="G38" s="41" t="str">
        <f>IF(Historicals!G7="","",-Historicals!G130/Historicals!G7)</f>
        <v/>
      </c>
      <c r="H38" s="41" t="str">
        <f>IF(Historicals!H7="","",-Historicals!H130/Historicals!H7)</f>
        <v/>
      </c>
      <c r="I38" s="41" t="str">
        <f>IF(Historicals!I7="","",-Historicals!I130/Historicals!I7)</f>
        <v/>
      </c>
      <c r="J38" s="41" t="str">
        <f>IF(Historicals!J7="","",-Historicals!J130/Historicals!J7)</f>
        <v/>
      </c>
      <c r="K38" s="41" t="str">
        <f>IF(Historicals!K7="","",-Historicals!K130/Historicals!K7)</f>
        <v/>
      </c>
    </row>
    <row r="39" spans="1:11" x14ac:dyDescent="0.3">
      <c r="A39" s="10" t="s">
        <v>750</v>
      </c>
      <c r="B39" s="150">
        <f>IF(Historicals!B7="","",Historicals!B148/Historicals!B7)</f>
        <v>-39.731707317073173</v>
      </c>
      <c r="C39" s="150">
        <f>IF(Historicals!C7="","",Historicals!C148/Historicals!C7)</f>
        <v>-14.784974093264248</v>
      </c>
      <c r="D39" s="150">
        <f>IF(Historicals!D7="","",Historicals!D148/Historicals!D7)</f>
        <v>-0.60370774263904037</v>
      </c>
      <c r="E39" s="150">
        <f>IF(Historicals!E7="","",Historicals!E148/Historicals!E7)</f>
        <v>-1.3164230438521065</v>
      </c>
      <c r="F39" s="150">
        <f>IF(Historicals!F7="","",Historicals!F148/Historicals!F7)</f>
        <v>0.21165418150558762</v>
      </c>
      <c r="G39" s="150" t="str">
        <f>IF(Historicals!G7="","",Historicals!G148/Historicals!G7)</f>
        <v/>
      </c>
      <c r="H39" s="150" t="str">
        <f>IF(Historicals!H7="","",Historicals!H148/Historicals!H7)</f>
        <v/>
      </c>
      <c r="I39" s="150" t="str">
        <f>IF(Historicals!I7="","",Historicals!I148/Historicals!I7)</f>
        <v/>
      </c>
      <c r="J39" s="150" t="str">
        <f>IF(Historicals!J7="","",Historicals!J148/Historicals!J7)</f>
        <v/>
      </c>
      <c r="K39" s="150" t="str">
        <f>IF(Historicals!K7="","",Historicals!K148/Historicals!K7)</f>
        <v/>
      </c>
    </row>
    <row r="40" spans="1:11" x14ac:dyDescent="0.3">
      <c r="A40" s="1" t="s">
        <v>751</v>
      </c>
      <c r="B40" s="41" t="str">
        <f>IF(OR(Historicals!B7="",Historicals!B27=""),"",IF(Historicals!B27&lt;=0,"NM",Historicals!B148/Historicals!B27))</f>
        <v>NM</v>
      </c>
      <c r="C40" s="41" t="str">
        <f>IF(OR(Historicals!C7="",Historicals!C27=""),"",IF(Historicals!C27&lt;=0,"NM",Historicals!C148/Historicals!C27))</f>
        <v>NM</v>
      </c>
      <c r="D40" s="41" t="str">
        <f>IF(OR(Historicals!D7="",Historicals!D27=""),"",IF(Historicals!D27&lt;=0,"NM",Historicals!D148/Historicals!D27))</f>
        <v>NM</v>
      </c>
      <c r="E40" s="41" t="str">
        <f>IF(OR(Historicals!E7="",Historicals!E27=""),"",IF(Historicals!E27&lt;=0,"NM",Historicals!E148/Historicals!E27))</f>
        <v>NM</v>
      </c>
      <c r="F40" s="41">
        <f>IF(OR(Historicals!F7="",Historicals!F27=""),"",IF(Historicals!F27&lt;=0,"NM",Historicals!F148/Historicals!F27))</f>
        <v>2.1304079110012362</v>
      </c>
      <c r="G40" s="41" t="str">
        <f>IF(OR(Historicals!G7="",Historicals!G27=""),"",IF(Historicals!G27&lt;=0,"NM",Historicals!G148/Historicals!G27))</f>
        <v/>
      </c>
      <c r="H40" s="41" t="str">
        <f>IF(OR(Historicals!H7="",Historicals!H27=""),"",IF(Historicals!H27&lt;=0,"NM",Historicals!H148/Historicals!H27))</f>
        <v/>
      </c>
      <c r="I40" s="41" t="str">
        <f>IF(OR(Historicals!I7="",Historicals!I27=""),"",IF(Historicals!I27&lt;=0,"NM",Historicals!I148/Historicals!I27))</f>
        <v/>
      </c>
      <c r="J40" s="41" t="str">
        <f>IF(OR(Historicals!J7="",Historicals!J27=""),"",IF(Historicals!J27&lt;=0,"NM",Historicals!J148/Historicals!J27))</f>
        <v/>
      </c>
      <c r="K40" s="41" t="str">
        <f>IF(OR(Historicals!K7="",Historicals!K27=""),"",IF(Historicals!K27&lt;=0,"NM",Historicals!K148/Historicals!K27))</f>
        <v/>
      </c>
    </row>
    <row r="41" spans="1:11" x14ac:dyDescent="0.3">
      <c r="A41" s="1" t="s">
        <v>752</v>
      </c>
      <c r="B41" s="41">
        <f>IF(Historicals!B7="","",Historicals!B72/Historicals!B7)</f>
        <v>0.95121951219512191</v>
      </c>
      <c r="C41" s="41">
        <f>IF(Historicals!C7="","",Historicals!C72/Historicals!C7)</f>
        <v>0.74611398963730569</v>
      </c>
      <c r="D41" s="41">
        <f>IF(Historicals!D7="","",Historicals!D72/Historicals!D7)</f>
        <v>0.82791712104689208</v>
      </c>
      <c r="E41" s="41">
        <f>IF(Historicals!E7="","",Historicals!E72/Historicals!E7)</f>
        <v>0.84522785898538266</v>
      </c>
      <c r="F41" s="41">
        <f>IF(Historicals!F7="","",Historicals!F72/Historicals!F7)</f>
        <v>0.80216136559007734</v>
      </c>
      <c r="G41" s="41" t="str">
        <f>IF(Historicals!G7="","",Historicals!G72/Historicals!G7)</f>
        <v/>
      </c>
      <c r="H41" s="41" t="str">
        <f>IF(Historicals!H7="","",Historicals!H72/Historicals!H7)</f>
        <v/>
      </c>
      <c r="I41" s="41" t="str">
        <f>IF(Historicals!I7="","",Historicals!I72/Historicals!I7)</f>
        <v/>
      </c>
      <c r="J41" s="41" t="str">
        <f>IF(Historicals!J7="","",Historicals!J72/Historicals!J7)</f>
        <v/>
      </c>
      <c r="K41" s="41" t="str">
        <f>IF(Historicals!K7="","",Historicals!K72/Historicals!K7)</f>
        <v/>
      </c>
    </row>
    <row r="42" spans="1:11" x14ac:dyDescent="0.3">
      <c r="A42" s="1" t="s">
        <v>753</v>
      </c>
      <c r="B42" s="41">
        <f>IF(Historicals!B7="","",Historicals!B73/Historicals!B7)</f>
        <v>4.878048780487805E-2</v>
      </c>
      <c r="C42" s="41">
        <f>IF(Historicals!C7="","",Historicals!C73/Historicals!C7)</f>
        <v>0.25388601036269431</v>
      </c>
      <c r="D42" s="41">
        <f>IF(Historicals!D7="","",Historicals!D73/Historicals!D7)</f>
        <v>0.17208287895310795</v>
      </c>
      <c r="E42" s="41">
        <f>IF(Historicals!E7="","",Historicals!E73/Historicals!E7)</f>
        <v>0.15477214101461736</v>
      </c>
      <c r="F42" s="41">
        <f>IF(Historicals!F7="","",Historicals!F73/Historicals!F7)</f>
        <v>0.19783863440992264</v>
      </c>
      <c r="G42" s="41" t="str">
        <f>IF(Historicals!G7="","",Historicals!G73/Historicals!G7)</f>
        <v/>
      </c>
      <c r="H42" s="41" t="str">
        <f>IF(Historicals!H7="","",Historicals!H73/Historicals!H7)</f>
        <v/>
      </c>
      <c r="I42" s="41" t="str">
        <f>IF(Historicals!I7="","",Historicals!I73/Historicals!I7)</f>
        <v/>
      </c>
      <c r="J42" s="41" t="str">
        <f>IF(Historicals!J7="","",Historicals!J73/Historicals!J7)</f>
        <v/>
      </c>
      <c r="K42" s="41" t="str">
        <f>IF(Historicals!K7="","",Historicals!K73/Historicals!K7)</f>
        <v/>
      </c>
    </row>
    <row r="43" spans="1:11" x14ac:dyDescent="0.3">
      <c r="A43" s="1" t="s">
        <v>754</v>
      </c>
      <c r="B43" s="41">
        <f>IF(Historicals!B7="","",Historicals!B70/Historicals!B7)</f>
        <v>0.17073170731707318</v>
      </c>
      <c r="C43" s="41">
        <f>IF(Historicals!C7="","",Historicals!C70/Historicals!C7)</f>
        <v>0.31865284974093266</v>
      </c>
      <c r="D43" s="41">
        <f>IF(Historicals!D7="","",Historicals!D70/Historicals!D7)</f>
        <v>0.26673936750272625</v>
      </c>
      <c r="E43" s="41">
        <f>IF(Historicals!E7="","",Historicals!E70/Historicals!E7)</f>
        <v>0.29492691315563196</v>
      </c>
      <c r="F43" s="41">
        <f>IF(Historicals!F7="","",Historicals!F70/Historicals!F7)</f>
        <v>0.27772319783863442</v>
      </c>
      <c r="G43" s="41" t="str">
        <f>IF(Historicals!G7="","",Historicals!G70/Historicals!G7)</f>
        <v/>
      </c>
      <c r="H43" s="41" t="str">
        <f>IF(Historicals!H7="","",Historicals!H70/Historicals!H7)</f>
        <v/>
      </c>
      <c r="I43" s="41" t="str">
        <f>IF(Historicals!I7="","",Historicals!I70/Historicals!I7)</f>
        <v/>
      </c>
      <c r="J43" s="41" t="str">
        <f>IF(Historicals!J7="","",Historicals!J70/Historicals!J7)</f>
        <v/>
      </c>
      <c r="K43" s="41" t="str">
        <f>IF(Historicals!K7="","",Historicals!K70/Historicals!K7)</f>
        <v/>
      </c>
    </row>
    <row r="44" spans="1:11" ht="3" customHeight="1" x14ac:dyDescent="0.3"/>
    <row r="45" spans="1:11" x14ac:dyDescent="0.3">
      <c r="A45" s="5" t="s">
        <v>729</v>
      </c>
      <c r="B45" s="5"/>
      <c r="C45" s="5"/>
      <c r="D45" s="5"/>
      <c r="E45" s="5"/>
      <c r="F45" s="5"/>
      <c r="G45" s="5"/>
      <c r="H45" s="5"/>
      <c r="I45" s="5"/>
      <c r="J45" s="5"/>
    </row>
    <row r="46" spans="1:11" x14ac:dyDescent="0.3">
      <c r="A46" s="6" t="s">
        <v>177</v>
      </c>
      <c r="B46" s="7" t="str">
        <f>Historicals!B80</f>
        <v>Dec 2024A</v>
      </c>
      <c r="C46" s="7" t="str">
        <f>Historicals!C80</f>
        <v>Dec 2025A</v>
      </c>
      <c r="D46" s="7" t="str">
        <f>Historicals!D80</f>
        <v>Jun 2026A</v>
      </c>
      <c r="E46" s="7" t="str">
        <f>Historicals!E80</f>
        <v>Sep 2026A</v>
      </c>
      <c r="F46" s="7" t="str">
        <f>Historicals!F80</f>
        <v>Dec 2026A</v>
      </c>
      <c r="G46" s="7" t="str">
        <f>Historicals!G80</f>
        <v>Mar 2027A</v>
      </c>
      <c r="H46" s="7" t="str">
        <f>Historicals!H80</f>
        <v>Jun 2027A</v>
      </c>
      <c r="I46" s="7" t="str">
        <f>Historicals!I80</f>
        <v>Sep 2027A</v>
      </c>
      <c r="J46" s="7" t="str">
        <f>Historicals!J80</f>
        <v>Dec 2027A</v>
      </c>
    </row>
    <row r="47" spans="1:11" x14ac:dyDescent="0.3">
      <c r="A47" s="10" t="s">
        <v>755</v>
      </c>
      <c r="B47" s="87">
        <f>IF(Historicals!B92="","",Historicals!B82+Historicals!B83)</f>
        <v>3141</v>
      </c>
      <c r="C47" s="87">
        <f>IF(Historicals!C92="","",Historicals!C82+Historicals!C83)</f>
        <v>20277</v>
      </c>
      <c r="D47" s="87">
        <f>IF(Historicals!D92="","",Historicals!D82+Historicals!D83)</f>
        <v>131651</v>
      </c>
      <c r="E47" s="87" t="str">
        <f>IF(Historicals!E92="","",Historicals!E82+Historicals!E83)</f>
        <v/>
      </c>
      <c r="F47" s="87" t="str">
        <f>IF(Historicals!F92="","",Historicals!F82+Historicals!F83)</f>
        <v/>
      </c>
      <c r="G47" s="87" t="str">
        <f>IF(Historicals!G92="","",Historicals!G82+Historicals!G83)</f>
        <v/>
      </c>
      <c r="H47" s="87" t="str">
        <f>IF(Historicals!H92="","",Historicals!H82+Historicals!H83)</f>
        <v/>
      </c>
      <c r="I47" s="87" t="str">
        <f>IF(Historicals!I92="","",Historicals!I82+Historicals!I83)</f>
        <v/>
      </c>
      <c r="J47" s="87" t="str">
        <f>IF(Historicals!J92="","",Historicals!J82+Historicals!J83)</f>
        <v/>
      </c>
    </row>
    <row r="48" spans="1:11" x14ac:dyDescent="0.3">
      <c r="A48" s="1" t="s">
        <v>756</v>
      </c>
      <c r="B48" s="41">
        <f>IF(Historicals!B92="","",(Historicals!B82+Historicals!B83)/Historicals!B92)</f>
        <v>0.4051857585139319</v>
      </c>
      <c r="C48" s="41">
        <f>IF(Historicals!C92="","",(Historicals!C82+Historicals!C83)/Historicals!C92)</f>
        <v>0.8222294310855196</v>
      </c>
      <c r="D48" s="41">
        <f>IF(Historicals!D92="","",(Historicals!D82+Historicals!D83)/Historicals!D92)</f>
        <v>0.89340924822541024</v>
      </c>
      <c r="E48" s="41" t="str">
        <f>IF(Historicals!E92="","",(Historicals!E82+Historicals!E83)/Historicals!E92)</f>
        <v/>
      </c>
      <c r="F48" s="41" t="str">
        <f>IF(Historicals!F92="","",(Historicals!F82+Historicals!F83)/Historicals!F92)</f>
        <v/>
      </c>
      <c r="G48" s="41" t="str">
        <f>IF(Historicals!G92="","",(Historicals!G82+Historicals!G83)/Historicals!G92)</f>
        <v/>
      </c>
      <c r="H48" s="41" t="str">
        <f>IF(Historicals!H92="","",(Historicals!H82+Historicals!H83)/Historicals!H92)</f>
        <v/>
      </c>
      <c r="I48" s="41" t="str">
        <f>IF(Historicals!I92="","",(Historicals!I82+Historicals!I83)/Historicals!I92)</f>
        <v/>
      </c>
      <c r="J48" s="41" t="str">
        <f>IF(Historicals!J92="","",(Historicals!J82+Historicals!J83)/Historicals!J92)</f>
        <v/>
      </c>
    </row>
    <row r="49" spans="1:19" x14ac:dyDescent="0.3">
      <c r="A49" s="1" t="s">
        <v>757</v>
      </c>
      <c r="B49" s="77">
        <f>IF(Historicals!B92="","",Historicals!B86-Historicals!B96)</f>
        <v>4938</v>
      </c>
      <c r="C49" s="77">
        <f>IF(Historicals!C92="","",Historicals!C86-Historicals!C96)</f>
        <v>20929</v>
      </c>
      <c r="D49" s="77">
        <f>IF(Historicals!D92="","",Historicals!D86-Historicals!D96)</f>
        <v>130760</v>
      </c>
      <c r="E49" s="77" t="str">
        <f>IF(Historicals!E92="","",Historicals!E86-Historicals!E96)</f>
        <v/>
      </c>
      <c r="F49" s="77" t="str">
        <f>IF(Historicals!F92="","",Historicals!F86-Historicals!F96)</f>
        <v/>
      </c>
      <c r="G49" s="77" t="str">
        <f>IF(Historicals!G92="","",Historicals!G86-Historicals!G96)</f>
        <v/>
      </c>
      <c r="H49" s="77" t="str">
        <f>IF(Historicals!H92="","",Historicals!H86-Historicals!H96)</f>
        <v/>
      </c>
      <c r="I49" s="77" t="str">
        <f>IF(Historicals!I92="","",Historicals!I86-Historicals!I96)</f>
        <v/>
      </c>
      <c r="J49" s="77" t="str">
        <f>IF(Historicals!J92="","",Historicals!J86-Historicals!J96)</f>
        <v/>
      </c>
    </row>
    <row r="50" spans="1:19" x14ac:dyDescent="0.3">
      <c r="A50" s="1" t="s">
        <v>758</v>
      </c>
      <c r="B50" s="127">
        <f>IF(Historicals!B92="","",Historicals!B86/Historicals!B96)</f>
        <v>14.203208556149733</v>
      </c>
      <c r="C50" s="127">
        <f>IF(Historicals!C92="","",Historicals!C86/Historicals!C96)</f>
        <v>8.4295349662761812</v>
      </c>
      <c r="D50" s="127">
        <f>IF(Historicals!D92="","",Historicals!D86/Historicals!D96)</f>
        <v>19.110803324099724</v>
      </c>
      <c r="E50" s="127" t="str">
        <f>IF(Historicals!E92="","",Historicals!E86/Historicals!E96)</f>
        <v/>
      </c>
      <c r="F50" s="127" t="str">
        <f>IF(Historicals!F92="","",Historicals!F86/Historicals!F96)</f>
        <v/>
      </c>
      <c r="G50" s="127" t="str">
        <f>IF(Historicals!G92="","",Historicals!G86/Historicals!G96)</f>
        <v/>
      </c>
      <c r="H50" s="127" t="str">
        <f>IF(Historicals!H92="","",Historicals!H86/Historicals!H96)</f>
        <v/>
      </c>
      <c r="I50" s="127" t="str">
        <f>IF(Historicals!I92="","",Historicals!I86/Historicals!I96)</f>
        <v/>
      </c>
      <c r="J50" s="127" t="str">
        <f>IF(Historicals!J92="","",Historicals!J86/Historicals!J96)</f>
        <v/>
      </c>
    </row>
    <row r="51" spans="1:19" x14ac:dyDescent="0.3">
      <c r="A51" s="1" t="s">
        <v>759</v>
      </c>
      <c r="B51" s="77">
        <f>IF(Historicals!B92="","",Historicals!B84)</f>
        <v>95</v>
      </c>
      <c r="C51" s="77">
        <f>IF(Historicals!C92="","",Historicals!C84)</f>
        <v>909</v>
      </c>
      <c r="D51" s="77">
        <f>IF(Historicals!D92="","",Historicals!D84)</f>
        <v>5833</v>
      </c>
      <c r="E51" s="77" t="str">
        <f>IF(Historicals!E92="","",Historicals!E84)</f>
        <v/>
      </c>
      <c r="F51" s="77" t="str">
        <f>IF(Historicals!F92="","",Historicals!F84)</f>
        <v/>
      </c>
      <c r="G51" s="77" t="str">
        <f>IF(Historicals!G92="","",Historicals!G84)</f>
        <v/>
      </c>
      <c r="H51" s="77" t="str">
        <f>IF(Historicals!H92="","",Historicals!H84)</f>
        <v/>
      </c>
      <c r="I51" s="77" t="str">
        <f>IF(Historicals!I92="","",Historicals!I84)</f>
        <v/>
      </c>
      <c r="J51" s="77" t="str">
        <f>IF(Historicals!J92="","",Historicals!J84)</f>
        <v/>
      </c>
    </row>
    <row r="52" spans="1:19" x14ac:dyDescent="0.3">
      <c r="A52" s="1" t="s">
        <v>760</v>
      </c>
      <c r="B52" s="77">
        <f>IF(Historicals!B92="","",Historicals!B95)</f>
        <v>28</v>
      </c>
      <c r="C52" s="77">
        <f>IF(Historicals!C92="","",Historicals!C95)</f>
        <v>269</v>
      </c>
      <c r="D52" s="77">
        <f>IF(Historicals!D92="","",Historicals!D95)</f>
        <v>1650</v>
      </c>
      <c r="E52" s="77" t="str">
        <f>IF(Historicals!E92="","",Historicals!E95)</f>
        <v/>
      </c>
      <c r="F52" s="77" t="str">
        <f>IF(Historicals!F92="","",Historicals!F95)</f>
        <v/>
      </c>
      <c r="G52" s="77" t="str">
        <f>IF(Historicals!G92="","",Historicals!G95)</f>
        <v/>
      </c>
      <c r="H52" s="77" t="str">
        <f>IF(Historicals!H92="","",Historicals!H95)</f>
        <v/>
      </c>
      <c r="I52" s="77" t="str">
        <f>IF(Historicals!I92="","",Historicals!I95)</f>
        <v/>
      </c>
      <c r="J52" s="77" t="str">
        <f>IF(Historicals!J92="","",Historicals!J95)</f>
        <v/>
      </c>
    </row>
    <row r="53" spans="1:19" x14ac:dyDescent="0.3">
      <c r="A53" s="1" t="s">
        <v>761</v>
      </c>
      <c r="B53" s="77">
        <f>IF(Historicals!B92="","",Historicals!B88)</f>
        <v>19</v>
      </c>
      <c r="C53" s="77">
        <f>IF(Historicals!C92="","",Historicals!C88)</f>
        <v>146</v>
      </c>
      <c r="D53" s="77">
        <f>IF(Historicals!D92="","",Historicals!D88)</f>
        <v>1187</v>
      </c>
      <c r="E53" s="77" t="str">
        <f>IF(Historicals!E92="","",Historicals!E88)</f>
        <v/>
      </c>
      <c r="F53" s="77" t="str">
        <f>IF(Historicals!F92="","",Historicals!F88)</f>
        <v/>
      </c>
      <c r="G53" s="77" t="str">
        <f>IF(Historicals!G92="","",Historicals!G88)</f>
        <v/>
      </c>
      <c r="H53" s="77" t="str">
        <f>IF(Historicals!H92="","",Historicals!H88)</f>
        <v/>
      </c>
      <c r="I53" s="77" t="str">
        <f>IF(Historicals!I92="","",Historicals!I88)</f>
        <v/>
      </c>
      <c r="J53" s="77" t="str">
        <f>IF(Historicals!J92="","",Historicals!J88)</f>
        <v/>
      </c>
    </row>
    <row r="54" spans="1:19" x14ac:dyDescent="0.3">
      <c r="A54" s="1" t="s">
        <v>762</v>
      </c>
      <c r="B54" s="41">
        <f>IF(Historicals!B92="","",(Historicals!B88+Historicals!B89)/Historicals!B92)</f>
        <v>6.9659442724458202E-3</v>
      </c>
      <c r="C54" s="41">
        <f>IF(Historicals!C92="","",(Historicals!C88+Historicals!C89)/Historicals!C92)</f>
        <v>1.1029560845058999E-2</v>
      </c>
      <c r="D54" s="41">
        <f>IF(Historicals!D92="","",(Historicals!D88+Historicals!D89)/Historicals!D92)</f>
        <v>1.5906839126481088E-2</v>
      </c>
      <c r="E54" s="41" t="str">
        <f>IF(Historicals!E92="","",(Historicals!E88+Historicals!E89)/Historicals!E92)</f>
        <v/>
      </c>
      <c r="F54" s="41" t="str">
        <f>IF(Historicals!F92="","",(Historicals!F88+Historicals!F89)/Historicals!F92)</f>
        <v/>
      </c>
      <c r="G54" s="41" t="str">
        <f>IF(Historicals!G92="","",(Historicals!G88+Historicals!G89)/Historicals!G92)</f>
        <v/>
      </c>
      <c r="H54" s="41" t="str">
        <f>IF(Historicals!H92="","",(Historicals!H88+Historicals!H89)/Historicals!H92)</f>
        <v/>
      </c>
      <c r="I54" s="41" t="str">
        <f>IF(Historicals!I92="","",(Historicals!I88+Historicals!I89)/Historicals!I92)</f>
        <v/>
      </c>
      <c r="J54" s="41" t="str">
        <f>IF(Historicals!J92="","",(Historicals!J88+Historicals!J89)/Historicals!J92)</f>
        <v/>
      </c>
    </row>
    <row r="55" spans="1:19" x14ac:dyDescent="0.3">
      <c r="A55" s="1" t="s">
        <v>763</v>
      </c>
      <c r="B55" s="77">
        <f>IF(Historicals!B92="","",Historicals!B98)</f>
        <v>14116</v>
      </c>
      <c r="C55" s="77">
        <f>IF(Historicals!C92="","",Historicals!C98)</f>
        <v>41677</v>
      </c>
      <c r="D55" s="77">
        <f>IF(Historicals!D92="","",Historicals!D98)</f>
        <v>108566</v>
      </c>
      <c r="E55" s="77" t="str">
        <f>IF(Historicals!E92="","",Historicals!E98)</f>
        <v/>
      </c>
      <c r="F55" s="77" t="str">
        <f>IF(Historicals!F92="","",Historicals!F98)</f>
        <v/>
      </c>
      <c r="G55" s="77" t="str">
        <f>IF(Historicals!G92="","",Historicals!G98)</f>
        <v/>
      </c>
      <c r="H55" s="77" t="str">
        <f>IF(Historicals!H92="","",Historicals!H98)</f>
        <v/>
      </c>
      <c r="I55" s="77" t="str">
        <f>IF(Historicals!I92="","",Historicals!I98)</f>
        <v/>
      </c>
      <c r="J55" s="77" t="str">
        <f>IF(Historicals!J92="","",Historicals!J98)</f>
        <v/>
      </c>
    </row>
    <row r="56" spans="1:19" ht="3" customHeight="1" x14ac:dyDescent="0.3"/>
    <row r="57" spans="1:19" x14ac:dyDescent="0.3">
      <c r="A57" s="5" t="s">
        <v>730</v>
      </c>
      <c r="B57" s="5"/>
      <c r="C57" s="5"/>
      <c r="D57" s="5"/>
      <c r="E57" s="5"/>
      <c r="F57" s="5"/>
      <c r="G57" s="5"/>
      <c r="H57" s="5"/>
      <c r="I57" s="5"/>
      <c r="J57" s="5"/>
      <c r="K57" s="5"/>
      <c r="L57" s="5"/>
      <c r="M57" s="5"/>
      <c r="N57" s="5"/>
      <c r="O57" s="5"/>
      <c r="P57" s="5"/>
      <c r="Q57" s="5"/>
      <c r="R57" s="5"/>
      <c r="S57" s="5"/>
    </row>
    <row r="58" spans="1:19" x14ac:dyDescent="0.3">
      <c r="A58" s="6" t="s">
        <v>177</v>
      </c>
      <c r="B58" s="7" t="str">
        <f>'DCF Base'!B6</f>
        <v>FY2023A</v>
      </c>
      <c r="C58" s="7" t="str">
        <f>'DCF Base'!C6</f>
        <v>FY2024A</v>
      </c>
      <c r="D58" s="7" t="str">
        <f>'DCF Base'!D6</f>
        <v>FY2025A</v>
      </c>
      <c r="E58" s="7" t="str">
        <f>'DCF Base'!E6</f>
        <v>FY2026E</v>
      </c>
      <c r="F58" s="7" t="str">
        <f>'DCF Base'!F6</f>
        <v>FY2027E</v>
      </c>
      <c r="G58" s="7" t="str">
        <f>'DCF Base'!G6</f>
        <v>FY2028E</v>
      </c>
      <c r="H58" s="7" t="str">
        <f>'DCF Base'!H6</f>
        <v>FY2029E</v>
      </c>
      <c r="I58" s="7" t="str">
        <f>'DCF Base'!I6</f>
        <v>FY2030E</v>
      </c>
      <c r="J58" s="7" t="str">
        <f>'DCF Base'!J6</f>
        <v>FY2031E</v>
      </c>
      <c r="K58" s="7" t="str">
        <f>'DCF Base'!K6</f>
        <v>FY2032E</v>
      </c>
      <c r="L58" s="7" t="str">
        <f>'DCF Base'!L6</f>
        <v>FY2033E</v>
      </c>
      <c r="M58" s="7" t="str">
        <f>'DCF Base'!M6</f>
        <v>FY2034E</v>
      </c>
      <c r="N58" s="7" t="str">
        <f>'DCF Base'!N6</f>
        <v>FY2035E</v>
      </c>
      <c r="O58" s="7" t="str">
        <f>'DCF Base'!O6</f>
        <v>FY2036E</v>
      </c>
      <c r="P58" s="7" t="str">
        <f>'DCF Base'!P6</f>
        <v>FY2037E</v>
      </c>
      <c r="Q58" s="7" t="str">
        <f>'DCF Base'!Q6</f>
        <v>FY2038E</v>
      </c>
      <c r="R58" s="7" t="str">
        <f>'DCF Base'!R6</f>
        <v>FY2039E</v>
      </c>
      <c r="S58" s="7" t="str">
        <f>'DCF Base'!S6</f>
        <v>FY2040E</v>
      </c>
    </row>
    <row r="59" spans="1:19" x14ac:dyDescent="0.3">
      <c r="A59" s="10" t="s">
        <v>14</v>
      </c>
      <c r="B59" s="87">
        <f>'DCF Base'!B107</f>
        <v>41</v>
      </c>
      <c r="C59" s="87">
        <f>'DCF Base'!C107</f>
        <v>386</v>
      </c>
      <c r="D59" s="87">
        <f>'DCF Base'!D107</f>
        <v>4585</v>
      </c>
      <c r="E59" s="87">
        <f>'DCF Base'!E107</f>
        <v>54504.162499999999</v>
      </c>
      <c r="F59" s="87">
        <f>'DCF Base'!F107</f>
        <v>113368.658</v>
      </c>
      <c r="G59" s="87">
        <f>'DCF Base'!G107</f>
        <v>180299.76955</v>
      </c>
      <c r="H59" s="87">
        <f>'DCF Base'!H107</f>
        <v>251743.825755</v>
      </c>
      <c r="I59" s="87">
        <f>'DCF Base'!I107</f>
        <v>326334.29825280001</v>
      </c>
      <c r="J59" s="87">
        <f>'DCF Base'!J107</f>
        <v>403460.70554073603</v>
      </c>
      <c r="K59" s="87">
        <f>'DCF Base'!K107</f>
        <v>478661.77395633794</v>
      </c>
      <c r="L59" s="87">
        <f>'DCF Base'!L107</f>
        <v>548756.97525433719</v>
      </c>
      <c r="M59" s="87">
        <f>'DCF Base'!M107</f>
        <v>613645.01567542762</v>
      </c>
      <c r="N59" s="87">
        <f>'DCF Base'!N107</f>
        <v>673940.81300650316</v>
      </c>
      <c r="O59" s="87">
        <f>'DCF Base'!O107</f>
        <v>730060.89449430665</v>
      </c>
      <c r="P59" s="87">
        <f>'DCF Base'!P107</f>
        <v>780539.03001436777</v>
      </c>
      <c r="Q59" s="87">
        <f>'DCF Base'!Q107</f>
        <v>826704.54645954445</v>
      </c>
      <c r="R59" s="87">
        <f>'DCF Base'!R107</f>
        <v>867336.27303227363</v>
      </c>
      <c r="S59" s="87">
        <f>'DCF Base'!S107</f>
        <v>902029.72395356465</v>
      </c>
    </row>
    <row r="60" spans="1:19" x14ac:dyDescent="0.3">
      <c r="A60" s="1" t="s">
        <v>376</v>
      </c>
      <c r="B60" s="41">
        <f>'DCF Base'!B66</f>
        <v>0</v>
      </c>
      <c r="C60" s="41">
        <f>'DCF Base'!C66</f>
        <v>8.4146341463414629</v>
      </c>
      <c r="D60" s="41">
        <f>'DCF Base'!D66</f>
        <v>10.878238341968911</v>
      </c>
      <c r="E60" s="41">
        <f>'DCF Base'!E66</f>
        <v>10.887494547437296</v>
      </c>
      <c r="F60" s="41">
        <f>'DCF Base'!F66</f>
        <v>1.08</v>
      </c>
      <c r="G60" s="41">
        <f>'DCF Base'!G66</f>
        <v>0.59038461538461551</v>
      </c>
      <c r="H60" s="41">
        <f>'DCF Base'!H66</f>
        <v>0.39625151148730353</v>
      </c>
      <c r="I60" s="41">
        <f>'DCF Base'!I66</f>
        <v>0.29629514159521952</v>
      </c>
      <c r="J60" s="41">
        <f>'DCF Base'!J66</f>
        <v>0.2363417136993331</v>
      </c>
      <c r="K60" s="41">
        <f>'DCF Base'!K66</f>
        <v>0.18639006818474213</v>
      </c>
      <c r="L60" s="41">
        <f>'DCF Base'!L66</f>
        <v>0.14643993966477287</v>
      </c>
      <c r="M60" s="41">
        <f>'DCF Base'!M66</f>
        <v>0.11824549545090735</v>
      </c>
      <c r="N60" s="41">
        <f>'DCF Base'!N66</f>
        <v>9.8258432466381329E-2</v>
      </c>
      <c r="O60" s="41">
        <f>'DCF Base'!O66</f>
        <v>8.327152830743012E-2</v>
      </c>
      <c r="P60" s="41">
        <f>'DCF Base'!P66</f>
        <v>6.9142363192903122E-2</v>
      </c>
      <c r="Q60" s="41">
        <f>'DCF Base'!Q66</f>
        <v>5.9145686083534876E-2</v>
      </c>
      <c r="R60" s="41">
        <f>'DCF Base'!R66</f>
        <v>4.9149030021353068E-2</v>
      </c>
      <c r="S60" s="41">
        <f>'DCF Base'!S66</f>
        <v>4.0000000000000036E-2</v>
      </c>
    </row>
    <row r="61" spans="1:19" x14ac:dyDescent="0.3">
      <c r="A61" s="1" t="s">
        <v>732</v>
      </c>
      <c r="B61" s="41">
        <f>IFERROR('DCF Base'!B108/'DCF Base'!B107,"")</f>
        <v>10.560975609756097</v>
      </c>
      <c r="C61" s="41">
        <f>IFERROR('DCF Base'!C108/'DCF Base'!C107,"")</f>
        <v>6.5336787564766841</v>
      </c>
      <c r="D61" s="41">
        <f>IFERROR('DCF Base'!D108/'DCF Base'!D107,"")</f>
        <v>1.5978189749182115</v>
      </c>
      <c r="E61" s="41">
        <f>IFERROR('DCF Base'!E108/'DCF Base'!E107,"")</f>
        <v>0.53763227550421477</v>
      </c>
      <c r="F61" s="41">
        <f>IFERROR('DCF Base'!F108/'DCF Base'!F107,"")</f>
        <v>0.46849450790482866</v>
      </c>
      <c r="G61" s="41">
        <f>IFERROR('DCF Base'!G108/'DCF Base'!G107,"")</f>
        <v>0.41137612445798399</v>
      </c>
      <c r="H61" s="41">
        <f>IFERROR('DCF Base'!H108/'DCF Base'!H107,"")</f>
        <v>0.36482315267207344</v>
      </c>
      <c r="I61" s="41">
        <f>IFERROR('DCF Base'!I108/'DCF Base'!I107,"")</f>
        <v>0.32811053628802123</v>
      </c>
      <c r="J61" s="41">
        <f>IFERROR('DCF Base'!J108/'DCF Base'!J107,"")</f>
        <v>0.30409767740651644</v>
      </c>
      <c r="K61" s="41">
        <f>IFERROR('DCF Base'!K108/'DCF Base'!K107,"")</f>
        <v>0.28249349788330924</v>
      </c>
      <c r="L61" s="41">
        <f>IFERROR('DCF Base'!L108/'DCF Base'!L107,"")</f>
        <v>0.26751994246631994</v>
      </c>
      <c r="M61" s="41">
        <f>IFERROR('DCF Base'!M108/'DCF Base'!M107,"")</f>
        <v>0.25781831261951821</v>
      </c>
      <c r="N61" s="41">
        <f>IFERROR('DCF Base'!N108/'DCF Base'!N107,"")</f>
        <v>0.24856339635313104</v>
      </c>
      <c r="O61" s="41">
        <f>IFERROR('DCF Base'!O108/'DCF Base'!O107,"")</f>
        <v>0.24003865285039594</v>
      </c>
      <c r="P61" s="41">
        <f>IFERROR('DCF Base'!P108/'DCF Base'!P107,"")</f>
        <v>0.23621290075421036</v>
      </c>
      <c r="Q61" s="41">
        <f>IFERROR('DCF Base'!Q108/'DCF Base'!Q107,"")</f>
        <v>0.23644037704840404</v>
      </c>
      <c r="R61" s="41">
        <f>IFERROR('DCF Base'!R108/'DCF Base'!R107,"")</f>
        <v>0.23626689827395411</v>
      </c>
      <c r="S61" s="41">
        <f>IFERROR('DCF Base'!S108/'DCF Base'!S107,"")</f>
        <v>0.23636630597662495</v>
      </c>
    </row>
    <row r="62" spans="1:19" x14ac:dyDescent="0.3">
      <c r="A62" s="10" t="s">
        <v>764</v>
      </c>
      <c r="B62" s="150">
        <f>'DCF Base'!B115</f>
        <v>-13.365853658536585</v>
      </c>
      <c r="C62" s="150">
        <f>'DCF Base'!C115</f>
        <v>-7.6658031088082899</v>
      </c>
      <c r="D62" s="150">
        <f>'DCF Base'!D115</f>
        <v>-1.7491821155943292</v>
      </c>
      <c r="E62" s="150">
        <f>'DCF Base'!E115</f>
        <v>3.5652294733883996E-2</v>
      </c>
      <c r="F62" s="150">
        <f>'DCF Base'!F115</f>
        <v>0.17356175529976872</v>
      </c>
      <c r="G62" s="150">
        <f>'DCF Base'!G115</f>
        <v>0.26892755264535695</v>
      </c>
      <c r="H62" s="150">
        <f>'DCF Base'!H115</f>
        <v>0.33579553110272375</v>
      </c>
      <c r="I62" s="150">
        <f>'DCF Base'!I115</f>
        <v>0.38985819491814055</v>
      </c>
      <c r="J62" s="150">
        <f>'DCF Base'!J115</f>
        <v>0.4304928607030713</v>
      </c>
      <c r="K62" s="150">
        <f>'DCF Base'!K115</f>
        <v>0.46254696086088604</v>
      </c>
      <c r="L62" s="150">
        <f>'DCF Base'!L115</f>
        <v>0.48203854131712376</v>
      </c>
      <c r="M62" s="150">
        <f>'DCF Base'!M115</f>
        <v>0.50073770292622199</v>
      </c>
      <c r="N62" s="150">
        <f>'DCF Base'!N115</f>
        <v>0.50863243361097221</v>
      </c>
      <c r="O62" s="150">
        <f>'DCF Base'!O115</f>
        <v>0.51542245503069473</v>
      </c>
      <c r="P62" s="150">
        <f>'DCF Base'!P115</f>
        <v>0.51717212562794268</v>
      </c>
      <c r="Q62" s="150">
        <f>'DCF Base'!Q115</f>
        <v>0.51461821824801524</v>
      </c>
      <c r="R62" s="150">
        <f>'DCF Base'!R115</f>
        <v>0.51199188016461017</v>
      </c>
      <c r="S62" s="150">
        <f>'DCF Base'!S115</f>
        <v>0.50864392867405039</v>
      </c>
    </row>
    <row r="63" spans="1:19" x14ac:dyDescent="0.3">
      <c r="A63" s="1" t="s">
        <v>765</v>
      </c>
      <c r="B63" s="41">
        <f>'DCF Base'!B117</f>
        <v>-12.658536585365853</v>
      </c>
      <c r="C63" s="41">
        <f>'DCF Base'!C117</f>
        <v>-7.1683937823834194</v>
      </c>
      <c r="D63" s="41">
        <f>'DCF Base'!D117</f>
        <v>-1.1694656488549617</v>
      </c>
      <c r="E63" s="41">
        <f>'DCF Base'!E117</f>
        <v>0.12627610718123608</v>
      </c>
      <c r="F63" s="41">
        <f>'DCF Base'!F117</f>
        <v>0.23232799737701021</v>
      </c>
      <c r="G63" s="41">
        <f>'DCF Base'!G117</f>
        <v>0.31551053023851938</v>
      </c>
      <c r="H63" s="41">
        <f>'DCF Base'!H117</f>
        <v>0.37548618921532517</v>
      </c>
      <c r="I63" s="41">
        <f>'DCF Base'!I117</f>
        <v>0.42529257856330616</v>
      </c>
      <c r="J63" s="41">
        <f>'DCF Base'!J117</f>
        <v>0.46216483469704445</v>
      </c>
      <c r="K63" s="41">
        <f>'DCF Base'!K117</f>
        <v>0.49253077736320794</v>
      </c>
      <c r="L63" s="41">
        <f>'DCF Base'!L117</f>
        <v>0.51070631747941519</v>
      </c>
      <c r="M63" s="41">
        <f>'DCF Base'!M117</f>
        <v>0.52825753732975556</v>
      </c>
      <c r="N63" s="41">
        <f>'DCF Base'!N117</f>
        <v>0.53586389312353611</v>
      </c>
      <c r="O63" s="41">
        <f>'DCF Base'!O117</f>
        <v>0.54246567835112391</v>
      </c>
      <c r="P63" s="41">
        <f>'DCF Base'!P117</f>
        <v>0.54410506692183214</v>
      </c>
      <c r="Q63" s="41">
        <f>'DCF Base'!Q117</f>
        <v>0.54147946775316114</v>
      </c>
      <c r="R63" s="41">
        <f>'DCF Base'!R117</f>
        <v>0.53888165884865524</v>
      </c>
      <c r="S63" s="41">
        <f>'DCF Base'!S117</f>
        <v>0.53564085827884778</v>
      </c>
    </row>
    <row r="64" spans="1:19" x14ac:dyDescent="0.3">
      <c r="A64" s="10" t="s">
        <v>623</v>
      </c>
      <c r="B64" s="150">
        <f>'DCF Base'!B120</f>
        <v>-13.439024390243903</v>
      </c>
      <c r="C64" s="150">
        <f>'DCF Base'!C120</f>
        <v>-7.7202072538860103</v>
      </c>
      <c r="D64" s="150">
        <f>'DCF Base'!D120</f>
        <v>-1.7579062159214831</v>
      </c>
      <c r="E64" s="150">
        <f>'DCF Base'!E120</f>
        <v>1.6799353150446828E-2</v>
      </c>
      <c r="F64" s="150">
        <f>'DCF Base'!F120</f>
        <v>0.13971790969370743</v>
      </c>
      <c r="G64" s="150">
        <f>'DCF Base'!G120</f>
        <v>0.22206413570378813</v>
      </c>
      <c r="H64" s="150">
        <f>'DCF Base'!H120</f>
        <v>0.28049909261501837</v>
      </c>
      <c r="I64" s="150">
        <f>'DCF Base'!I120</f>
        <v>0.32999515339055269</v>
      </c>
      <c r="J64" s="150">
        <f>'DCF Base'!J120</f>
        <v>0.36818057980400642</v>
      </c>
      <c r="K64" s="150">
        <f>'DCF Base'!K120</f>
        <v>0.39961404689244034</v>
      </c>
      <c r="L64" s="150">
        <f>'DCF Base'!L120</f>
        <v>0.41967747873558903</v>
      </c>
      <c r="M64" s="150">
        <f>'DCF Base'!M120</f>
        <v>0.43911039013617298</v>
      </c>
      <c r="N64" s="150">
        <f>'DCF Base'!N120</f>
        <v>0.44801965501499141</v>
      </c>
      <c r="O64" s="150">
        <f>'DCF Base'!O120</f>
        <v>0.45630282280673173</v>
      </c>
      <c r="P64" s="150">
        <f>'DCF Base'!P120</f>
        <v>0.45927325790900264</v>
      </c>
      <c r="Q64" s="150">
        <f>'DCF Base'!Q120</f>
        <v>0.45721117000316724</v>
      </c>
      <c r="R64" s="150">
        <f>'DCF Base'!R120</f>
        <v>0.45474752935764806</v>
      </c>
      <c r="S64" s="150">
        <f>'DCF Base'!S120</f>
        <v>0.45170841620550162</v>
      </c>
    </row>
    <row r="65" spans="1:19" x14ac:dyDescent="0.3">
      <c r="A65" s="10" t="s">
        <v>766</v>
      </c>
      <c r="B65" s="150">
        <f>'DCF Base'!B141</f>
        <v>0</v>
      </c>
      <c r="C65" s="150">
        <f>'DCF Base'!C141</f>
        <v>0</v>
      </c>
      <c r="D65" s="150">
        <f>'DCF Base'!D141</f>
        <v>0</v>
      </c>
      <c r="E65" s="150">
        <f>'DCF Base'!E141</f>
        <v>-0.14112623088186108</v>
      </c>
      <c r="F65" s="150">
        <f>'DCF Base'!F141</f>
        <v>-4.2352872232695495E-2</v>
      </c>
      <c r="G65" s="150">
        <f>'DCF Base'!G141</f>
        <v>2.2009852988769441E-2</v>
      </c>
      <c r="H65" s="150">
        <f>'DCF Base'!H141</f>
        <v>0.100189575805993</v>
      </c>
      <c r="I65" s="150">
        <f>'DCF Base'!I141</f>
        <v>0.15945226257561709</v>
      </c>
      <c r="J65" s="150">
        <f>'DCF Base'!J141</f>
        <v>0.20463841181489559</v>
      </c>
      <c r="K65" s="150">
        <f>'DCF Base'!K141</f>
        <v>0.24910136390950902</v>
      </c>
      <c r="L65" s="150">
        <f>'DCF Base'!L141</f>
        <v>0.27561213776573928</v>
      </c>
      <c r="M65" s="150">
        <f>'DCF Base'!M141</f>
        <v>0.29672098880833753</v>
      </c>
      <c r="N65" s="150">
        <f>'DCF Base'!N141</f>
        <v>0.31130313568467427</v>
      </c>
      <c r="O65" s="150">
        <f>'DCF Base'!O141</f>
        <v>0.32355886024217312</v>
      </c>
      <c r="P65" s="150">
        <f>'DCF Base'!P141</f>
        <v>0.32636166480326684</v>
      </c>
      <c r="Q65" s="150">
        <f>'DCF Base'!Q141</f>
        <v>0.32367179174289207</v>
      </c>
      <c r="R65" s="150">
        <f>'DCF Base'!R141</f>
        <v>0.32499779823306602</v>
      </c>
      <c r="S65" s="150">
        <f>'DCF Base'!S141</f>
        <v>0.32558040465245941</v>
      </c>
    </row>
    <row r="66" spans="1:19" x14ac:dyDescent="0.3">
      <c r="A66" s="1" t="s">
        <v>767</v>
      </c>
      <c r="B66" s="41">
        <f>'DCF Base'!B142</f>
        <v>4.878048780487805E-2</v>
      </c>
      <c r="C66" s="41">
        <f>'DCF Base'!C142</f>
        <v>3.8860103626943004E-2</v>
      </c>
      <c r="D66" s="41">
        <f>'DCF Base'!D142</f>
        <v>2.8571428571428571E-2</v>
      </c>
      <c r="E66" s="41">
        <f>'DCF Base'!E142</f>
        <v>0.14852941583437168</v>
      </c>
      <c r="F66" s="41">
        <f>'DCF Base'!F142</f>
        <v>0.18335247982898129</v>
      </c>
      <c r="G66" s="41">
        <f>'DCF Base'!G142</f>
        <v>0.18470630999247928</v>
      </c>
      <c r="H66" s="41">
        <f>'DCF Base'!H142</f>
        <v>0.16257726428106503</v>
      </c>
      <c r="I66" s="41">
        <f>'DCF Base'!I142</f>
        <v>0.14764992482052089</v>
      </c>
      <c r="J66" s="41">
        <f>'DCF Base'!J142</f>
        <v>0.13543805167448758</v>
      </c>
      <c r="K66" s="41">
        <f>'DCF Base'!K142</f>
        <v>0.11682115910589652</v>
      </c>
      <c r="L66" s="41">
        <f>'DCF Base'!L142</f>
        <v>0.10606854825400786</v>
      </c>
      <c r="M66" s="41">
        <f>'DCF Base'!M142</f>
        <v>9.9849064915850813E-2</v>
      </c>
      <c r="N66" s="41">
        <f>'DCF Base'!N142</f>
        <v>9.1600752377751588E-2</v>
      </c>
      <c r="O66" s="41">
        <f>'DCF Base'!O142</f>
        <v>8.4607833193536694E-2</v>
      </c>
      <c r="P66" s="41">
        <f>'DCF Base'!P142</f>
        <v>8.3237485506301792E-2</v>
      </c>
      <c r="Q66" s="41">
        <f>'DCF Base'!Q142</f>
        <v>8.4112572685946546E-2</v>
      </c>
      <c r="R66" s="41">
        <f>'DCF Base'!R142</f>
        <v>8.0996753178050204E-2</v>
      </c>
      <c r="S66" s="41">
        <f>'DCF Base'!S142</f>
        <v>7.8016742140479364E-2</v>
      </c>
    </row>
    <row r="67" spans="1:19" x14ac:dyDescent="0.3">
      <c r="A67" s="1" t="s">
        <v>519</v>
      </c>
      <c r="B67" s="81" t="str">
        <f>IF('DCF Base'!B80="","",'DCF Base'!B80)</f>
        <v/>
      </c>
      <c r="C67" s="81" t="str">
        <f>IF('DCF Base'!C80="","",'DCF Base'!C80)</f>
        <v/>
      </c>
      <c r="D67" s="81">
        <f>IF('DCF Base'!D80="","",'DCF Base'!D80)</f>
        <v>0.61050000000000004</v>
      </c>
      <c r="E67" s="81">
        <f>IF('DCF Base'!E80="","",'DCF Base'!E80)</f>
        <v>2.4981074479166665</v>
      </c>
      <c r="F67" s="81">
        <f>IF('DCF Base'!F80="","",'DCF Base'!F80)</f>
        <v>4.8682969634353741</v>
      </c>
      <c r="G67" s="81">
        <f>IF('DCF Base'!G80="","",'DCF Base'!G80)</f>
        <v>7.274693950502396</v>
      </c>
      <c r="H67" s="81">
        <f>IF('DCF Base'!H80="","",'DCF Base'!H80)</f>
        <v>9.5844669501120041</v>
      </c>
      <c r="I67" s="81">
        <f>IF('DCF Base'!I80="","",'DCF Base'!I80)</f>
        <v>11.793368445404937</v>
      </c>
      <c r="J67" s="81">
        <f>IF('DCF Base'!J80="","",'DCF Base'!J80)</f>
        <v>14.134329132984208</v>
      </c>
      <c r="K67" s="81">
        <f>IF('DCF Base'!K80="","",'DCF Base'!K80)</f>
        <v>16.21040616967683</v>
      </c>
      <c r="L67" s="81">
        <f>IF('DCF Base'!L80="","",'DCF Base'!L80)</f>
        <v>18.173377150251628</v>
      </c>
      <c r="M67" s="81">
        <f>IF('DCF Base'!M80="","",'DCF Base'!M80)</f>
        <v>20.135865714381953</v>
      </c>
      <c r="N67" s="81">
        <f>IF('DCF Base'!N80="","",'DCF Base'!N80)</f>
        <v>21.892130357532587</v>
      </c>
      <c r="O67" s="81">
        <f>IF('DCF Base'!O80="","",'DCF Base'!O80)</f>
        <v>23.45451577942729</v>
      </c>
      <c r="P67" s="81">
        <f>IF('DCF Base'!P80="","",'DCF Base'!P80)</f>
        <v>25.181822839944012</v>
      </c>
      <c r="Q67" s="81">
        <f>IF('DCF Base'!Q80="","",'DCF Base'!Q80)</f>
        <v>27.215598985032688</v>
      </c>
      <c r="R67" s="81">
        <f>IF('DCF Base'!R80="","",'DCF Base'!R80)</f>
        <v>29.135837005732892</v>
      </c>
      <c r="S67" s="81">
        <f>IF('DCF Base'!S80="","",'DCF Base'!S80)</f>
        <v>30.919780004379291</v>
      </c>
    </row>
    <row r="68" spans="1:19" x14ac:dyDescent="0.3">
      <c r="A68" s="1" t="s">
        <v>620</v>
      </c>
      <c r="B68" s="41" t="str">
        <f>IF('DCF Base'!B86="","",'DCF Base'!B86)</f>
        <v/>
      </c>
      <c r="C68" s="41" t="str">
        <f>IF('DCF Base'!C86="","",'DCF Base'!C86)</f>
        <v/>
      </c>
      <c r="D68" s="41" t="str">
        <f>IF('DCF Base'!D86="","",'DCF Base'!D86)</f>
        <v/>
      </c>
      <c r="E68" s="41">
        <f>IF('DCF Base'!E86="","",'DCF Base'!E86)</f>
        <v>7.5561499546020913E-2</v>
      </c>
      <c r="F68" s="41">
        <f>IF('DCF Base'!F86="","",'DCF Base'!F86)</f>
        <v>0.13614589514023731</v>
      </c>
      <c r="G68" s="41">
        <f>IF('DCF Base'!G86="","",'DCF Base'!G86)</f>
        <v>0.19034721645161237</v>
      </c>
      <c r="H68" s="41">
        <f>IF('DCF Base'!H86="","",'DCF Base'!H86)</f>
        <v>0.22882214580052868</v>
      </c>
      <c r="I68" s="41">
        <f>IF('DCF Base'!I86="","",'DCF Base'!I86)</f>
        <v>0.26088380993428795</v>
      </c>
      <c r="J68" s="41">
        <f>IF('DCF Base'!J86="","",'DCF Base'!J86)</f>
        <v>0.28392455908379349</v>
      </c>
      <c r="K68" s="41">
        <f>IF('DCF Base'!K86="","",'DCF Base'!K86)</f>
        <v>0.29879041468837964</v>
      </c>
      <c r="L68" s="41">
        <f>IF('DCF Base'!L86="","",'DCF Base'!L86)</f>
        <v>0.30972242128683236</v>
      </c>
      <c r="M68" s="41">
        <f>IF('DCF Base'!M86="","",'DCF Base'!M86)</f>
        <v>0.31852108523975214</v>
      </c>
      <c r="N68" s="41">
        <f>IF('DCF Base'!N86="","",'DCF Base'!N86)</f>
        <v>0.32505761388354726</v>
      </c>
      <c r="O68" s="41">
        <f>IF('DCF Base'!O86="","",'DCF Base'!O86)</f>
        <v>0.33004978224257397</v>
      </c>
      <c r="P68" s="41">
        <f>IF('DCF Base'!P86="","",'DCF Base'!P86)</f>
        <v>0.3348479061029892</v>
      </c>
      <c r="Q68" s="41">
        <f>IF('DCF Base'!Q86="","",'DCF Base'!Q86)</f>
        <v>0.33971661299579681</v>
      </c>
      <c r="R68" s="41">
        <f>IF('DCF Base'!R86="","",'DCF Base'!R86)</f>
        <v>0.34368967379097076</v>
      </c>
      <c r="S68" s="41">
        <f>IF('DCF Base'!S86="","",'DCF Base'!S86)</f>
        <v>0.34693854594264406</v>
      </c>
    </row>
    <row r="69" spans="1:19" x14ac:dyDescent="0.3">
      <c r="A69" s="1" t="s">
        <v>768</v>
      </c>
      <c r="B69" s="77" t="str">
        <f>IFERROR('DCF Base'!B107/'DCF Base'!B80,"")</f>
        <v/>
      </c>
      <c r="C69" s="77" t="str">
        <f>IFERROR('DCF Base'!C107/'DCF Base'!C80,"")</f>
        <v/>
      </c>
      <c r="D69" s="77">
        <f>IFERROR('DCF Base'!D107/'DCF Base'!D80,"")</f>
        <v>7510.2375102375099</v>
      </c>
      <c r="E69" s="77">
        <f>IFERROR('DCF Base'!E107/'DCF Base'!E80,"")</f>
        <v>21818.18181818182</v>
      </c>
      <c r="F69" s="77">
        <f>IFERROR('DCF Base'!F107/'DCF Base'!F80,"")</f>
        <v>23287.128712871287</v>
      </c>
      <c r="G69" s="77">
        <f>IFERROR('DCF Base'!G107/'DCF Base'!G80,"")</f>
        <v>24784.516129032254</v>
      </c>
      <c r="H69" s="77">
        <f>IFERROR('DCF Base'!H107/'DCF Base'!H80,"")</f>
        <v>26265.81395348837</v>
      </c>
      <c r="I69" s="77">
        <f>IFERROR('DCF Base'!I107/'DCF Base'!I80,"")</f>
        <v>27671</v>
      </c>
      <c r="J69" s="77">
        <f>IFERROR('DCF Base'!J107/'DCF Base'!J80,"")</f>
        <v>28544.73684210526</v>
      </c>
      <c r="K69" s="77">
        <f>IFERROR('DCF Base'!K107/'DCF Base'!K80,"")</f>
        <v>29528.055555555555</v>
      </c>
      <c r="L69" s="77">
        <f>IFERROR('DCF Base'!L107/'DCF Base'!L80,"")</f>
        <v>30195.65217391304</v>
      </c>
      <c r="M69" s="77">
        <f>IFERROR('DCF Base'!M107/'DCF Base'!M80,"")</f>
        <v>30475.223880597016</v>
      </c>
      <c r="N69" s="77">
        <f>IFERROR('DCF Base'!N107/'DCF Base'!N80,"")</f>
        <v>30784.615384615383</v>
      </c>
      <c r="O69" s="77">
        <f>IFERROR('DCF Base'!O107/'DCF Base'!O80,"")</f>
        <v>31126.666666666661</v>
      </c>
      <c r="P69" s="77">
        <f>IFERROR('DCF Base'!P107/'DCF Base'!P80,"")</f>
        <v>30996.129032258064</v>
      </c>
      <c r="Q69" s="77">
        <f>IFERROR('DCF Base'!Q107/'DCF Base'!Q80,"")</f>
        <v>30376.129032258061</v>
      </c>
      <c r="R69" s="77">
        <f>IFERROR('DCF Base'!R107/'DCF Base'!R80,"")</f>
        <v>29768.709677419352</v>
      </c>
      <c r="S69" s="77">
        <f>IFERROR('DCF Base'!S107/'DCF Base'!S80,"")</f>
        <v>29173.225806451617</v>
      </c>
    </row>
    <row r="70" spans="1:19" x14ac:dyDescent="0.3">
      <c r="A70" s="1" t="s">
        <v>769</v>
      </c>
      <c r="B70" s="151" t="str">
        <f>IF('DCF Base'!B104="","",'DCF Base'!B104)</f>
        <v/>
      </c>
      <c r="C70" s="151" t="str">
        <f>IF('DCF Base'!C104="","",'DCF Base'!C104)</f>
        <v/>
      </c>
      <c r="D70" s="151" t="str">
        <f>IF('DCF Base'!D104="","",'DCF Base'!D104)</f>
        <v/>
      </c>
      <c r="E70" s="151">
        <f>IF('DCF Base'!E104="","",'DCF Base'!E104)</f>
        <v>9.6467544247787611</v>
      </c>
      <c r="F70" s="151">
        <f>IF('DCF Base'!F104="","",'DCF Base'!F104)</f>
        <v>16.080660709219856</v>
      </c>
      <c r="G70" s="151">
        <f>IF('DCF Base'!G104="","",'DCF Base'!G104)</f>
        <v>19.525641060212255</v>
      </c>
      <c r="H70" s="151">
        <f>IF('DCF Base'!H104="","",'DCF Base'!H104)</f>
        <v>21.874637289633377</v>
      </c>
      <c r="I70" s="151">
        <f>IF('DCF Base'!I104="","",'DCF Base'!I104)</f>
        <v>23.669081446388482</v>
      </c>
      <c r="J70" s="151">
        <f>IF('DCF Base'!J104="","",'DCF Base'!J104)</f>
        <v>25.145249713565278</v>
      </c>
      <c r="K70" s="151">
        <f>IF('DCF Base'!K104="","",'DCF Base'!K104)</f>
        <v>26.308023061004111</v>
      </c>
      <c r="L70" s="151">
        <f>IF('DCF Base'!L104="","",'DCF Base'!L104)</f>
        <v>27.185546320580286</v>
      </c>
      <c r="M70" s="151">
        <f>IF('DCF Base'!M104="","",'DCF Base'!M104)</f>
        <v>27.902203190628445</v>
      </c>
      <c r="N70" s="151">
        <f>IF('DCF Base'!N104="","",'DCF Base'!N104)</f>
        <v>28.510988670636948</v>
      </c>
      <c r="O70" s="151">
        <f>IF('DCF Base'!O104="","",'DCF Base'!O104)</f>
        <v>29.004738454109969</v>
      </c>
      <c r="P70" s="151">
        <f>IF('DCF Base'!P104="","",'DCF Base'!P104)</f>
        <v>29.397607411926167</v>
      </c>
      <c r="Q70" s="151">
        <f>IF('DCF Base'!Q104="","",'DCF Base'!Q104)</f>
        <v>29.726168632722722</v>
      </c>
      <c r="R70" s="151">
        <f>IF('DCF Base'!R104="","",'DCF Base'!R104)</f>
        <v>29.917339862544175</v>
      </c>
      <c r="S70" s="151">
        <f>IF('DCF Base'!S104="","",'DCF Base'!S104)</f>
        <v>29.990846840093425</v>
      </c>
    </row>
    <row r="71" spans="1:19" x14ac:dyDescent="0.3">
      <c r="A71" s="1" t="s">
        <v>433</v>
      </c>
      <c r="B71" s="41" t="str">
        <f>IF('DCF Base'!B130="","",'DCF Base'!B130)</f>
        <v/>
      </c>
      <c r="C71" s="41" t="str">
        <f>IF('DCF Base'!C130="","",'DCF Base'!C130)</f>
        <v/>
      </c>
      <c r="D71" s="41" t="str">
        <f>IF('DCF Base'!D130="","",'DCF Base'!D130)</f>
        <v/>
      </c>
      <c r="E71" s="41">
        <f>IF('DCF Base'!E130="","",'DCF Base'!E130)</f>
        <v>4.5999999999999999E-2</v>
      </c>
      <c r="F71" s="41">
        <f>IF('DCF Base'!F130="","",'DCF Base'!F130)</f>
        <v>0.12156798411739224</v>
      </c>
      <c r="G71" s="41">
        <f>IF('DCF Base'!G130="","",'DCF Base'!G130)</f>
        <v>0.23</v>
      </c>
      <c r="H71" s="41">
        <f>IF('DCF Base'!H130="","",'DCF Base'!H130)</f>
        <v>0.23</v>
      </c>
      <c r="I71" s="41">
        <f>IF('DCF Base'!I130="","",'DCF Base'!I130)</f>
        <v>0.23</v>
      </c>
      <c r="J71" s="41">
        <f>IF('DCF Base'!J130="","",'DCF Base'!J130)</f>
        <v>0.23</v>
      </c>
      <c r="K71" s="41">
        <f>IF('DCF Base'!K130="","",'DCF Base'!K130)</f>
        <v>0.23</v>
      </c>
      <c r="L71" s="41">
        <f>IF('DCF Base'!L130="","",'DCF Base'!L130)</f>
        <v>0.23</v>
      </c>
      <c r="M71" s="41">
        <f>IF('DCF Base'!M130="","",'DCF Base'!M130)</f>
        <v>0.23</v>
      </c>
      <c r="N71" s="41">
        <f>IF('DCF Base'!N130="","",'DCF Base'!N130)</f>
        <v>0.23</v>
      </c>
      <c r="O71" s="41">
        <f>IF('DCF Base'!O130="","",'DCF Base'!O130)</f>
        <v>0.23000000000000004</v>
      </c>
      <c r="P71" s="41">
        <f>IF('DCF Base'!P130="","",'DCF Base'!P130)</f>
        <v>0.23</v>
      </c>
      <c r="Q71" s="41">
        <f>IF('DCF Base'!Q130="","",'DCF Base'!Q130)</f>
        <v>0.23</v>
      </c>
      <c r="R71" s="41">
        <f>IF('DCF Base'!R130="","",'DCF Base'!R130)</f>
        <v>0.23</v>
      </c>
      <c r="S71" s="41">
        <f>IF('DCF Base'!S130="","",'DCF Base'!S130)</f>
        <v>0.23</v>
      </c>
    </row>
    <row r="73" spans="1:19" x14ac:dyDescent="0.3">
      <c r="A73"/>
    </row>
    <row r="100" spans="1:1" x14ac:dyDescent="0.3">
      <c r="A100" s="183" t="s">
        <v>932</v>
      </c>
    </row>
  </sheetData>
  <sheetProtection algorithmName="SHA-512" hashValue="YG2hxC1HDztrnW2T8QJU9U8SFXnsAfOILLl6S7acdN5DO2qfZWVFEBr/467mJGe7k+W99MfBHNdr/NeNdM/R6w==" saltValue="jq/yK0vhxvVaBnXdmxYppA==" spinCount="100000" sheet="1" objects="1" scenarios="1" sort="0" autoFilter="0"/>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EB869-9C91-4831-A360-53272C5425BB}">
  <sheetPr>
    <tabColor rgb="FFB0AEA5"/>
  </sheetPr>
  <dimension ref="A1:Z100"/>
  <sheetViews>
    <sheetView showGridLines="0" workbookViewId="0">
      <pane ySplit="5" topLeftCell="A6" activePane="bottomLeft" state="frozen"/>
      <selection pane="bottomLeft" activeCell="G19" sqref="G19"/>
    </sheetView>
  </sheetViews>
  <sheetFormatPr defaultRowHeight="14.4" x14ac:dyDescent="0.3"/>
  <cols>
    <col min="1" max="1" width="48.109375" style="1" customWidth="1"/>
    <col min="2" max="15" width="14.77734375" style="1" customWidth="1"/>
    <col min="16" max="26" width="8.88671875" style="1"/>
  </cols>
  <sheetData>
    <row r="1" spans="1:15" ht="30" customHeight="1" x14ac:dyDescent="0.4">
      <c r="A1" s="2" t="s">
        <v>876</v>
      </c>
    </row>
    <row r="2" spans="1:15" x14ac:dyDescent="0.3">
      <c r="A2" s="24" t="s">
        <v>847</v>
      </c>
    </row>
    <row r="3" spans="1:15" x14ac:dyDescent="0.3">
      <c r="A3" s="4" t="s">
        <v>848</v>
      </c>
    </row>
    <row r="5" spans="1:15" x14ac:dyDescent="0.3">
      <c r="A5" s="6" t="s">
        <v>546</v>
      </c>
      <c r="B5" s="7" t="s">
        <v>547</v>
      </c>
      <c r="C5" s="7" t="s">
        <v>548</v>
      </c>
      <c r="D5" s="7" t="s">
        <v>549</v>
      </c>
      <c r="E5" s="7" t="s">
        <v>550</v>
      </c>
      <c r="F5" s="7" t="s">
        <v>841</v>
      </c>
      <c r="G5" s="7" t="s">
        <v>842</v>
      </c>
      <c r="H5" s="7" t="s">
        <v>843</v>
      </c>
      <c r="I5" s="7" t="s">
        <v>844</v>
      </c>
      <c r="J5" s="7" t="s">
        <v>845</v>
      </c>
      <c r="K5" s="7" t="s">
        <v>846</v>
      </c>
      <c r="L5" s="7" t="s">
        <v>551</v>
      </c>
      <c r="M5" s="7" t="s">
        <v>552</v>
      </c>
      <c r="N5" s="7" t="s">
        <v>839</v>
      </c>
      <c r="O5" s="7" t="s">
        <v>840</v>
      </c>
    </row>
    <row r="7" spans="1:15" x14ac:dyDescent="0.3">
      <c r="A7" s="5" t="s">
        <v>553</v>
      </c>
      <c r="B7" s="5"/>
      <c r="C7" s="5"/>
      <c r="D7" s="5"/>
      <c r="E7" s="5"/>
      <c r="F7" s="5"/>
      <c r="G7" s="5"/>
      <c r="H7" s="5"/>
      <c r="I7" s="5"/>
      <c r="J7" s="5"/>
      <c r="K7" s="5"/>
      <c r="L7" s="5"/>
      <c r="M7" s="5"/>
      <c r="N7" s="5"/>
      <c r="O7" s="5"/>
    </row>
    <row r="8" spans="1:15" x14ac:dyDescent="0.3">
      <c r="A8" s="1" t="s">
        <v>554</v>
      </c>
      <c r="B8" s="115" t="s">
        <v>555</v>
      </c>
      <c r="C8" s="158">
        <v>5250000</v>
      </c>
      <c r="D8" s="158">
        <v>-23610</v>
      </c>
      <c r="E8" s="9">
        <f>IF(C8="","",C8+D8)</f>
        <v>5226390</v>
      </c>
      <c r="F8" s="157">
        <f>IFERROR(C8/O8,"")</f>
        <v>537909.83606557373</v>
      </c>
      <c r="G8" s="158">
        <v>201270</v>
      </c>
      <c r="H8" s="159">
        <f>IFERROR(F8/N8-1,"")</f>
        <v>0.77545577471556171</v>
      </c>
      <c r="I8" s="159">
        <f>IFERROR(G8/N8,"")</f>
        <v>0.66432320031686309</v>
      </c>
      <c r="J8" s="83">
        <f>IFERROR(E8/F8,"")</f>
        <v>9.7161078857142869</v>
      </c>
      <c r="K8" s="83">
        <f>IFERROR(IF(G8&gt;0,E8/G8,"NM"),"")</f>
        <v>25.967059174243552</v>
      </c>
      <c r="L8" s="145">
        <v>2.2200000000000002</v>
      </c>
      <c r="M8" s="51">
        <f>IF(L8="","",IFERROR(L8/(1+(1-WACC!$B$9)*MAX(D8,0)/C8),""))</f>
        <v>2.2200000000000002</v>
      </c>
      <c r="N8" s="160">
        <v>302970</v>
      </c>
      <c r="O8" s="161">
        <v>9.76</v>
      </c>
    </row>
    <row r="9" spans="1:15" x14ac:dyDescent="0.3">
      <c r="A9" s="1" t="s">
        <v>556</v>
      </c>
      <c r="B9" s="115" t="s">
        <v>557</v>
      </c>
      <c r="C9" s="158">
        <v>473620</v>
      </c>
      <c r="D9" s="158">
        <v>-9200</v>
      </c>
      <c r="E9" s="9">
        <f>IF(C9="","",C9+D9)</f>
        <v>464420</v>
      </c>
      <c r="F9" s="157">
        <f>IFERROR(C9/O9,"")</f>
        <v>10100.661121774365</v>
      </c>
      <c r="G9" s="158">
        <v>2660</v>
      </c>
      <c r="H9" s="159">
        <f>IFERROR(F9/N9-1,"")</f>
        <v>0.63971771457376048</v>
      </c>
      <c r="I9" s="159">
        <f>IFERROR(G9/N9,"")</f>
        <v>0.43181818181818182</v>
      </c>
      <c r="J9" s="83">
        <f>IFERROR(E9/F9,"")</f>
        <v>45.979168531734302</v>
      </c>
      <c r="K9" s="83">
        <f>IFERROR(IF(G9&gt;0,E9/G9,"NM"),"")</f>
        <v>174.59398496240601</v>
      </c>
      <c r="L9" s="145">
        <v>1.6</v>
      </c>
      <c r="M9" s="51">
        <f>IF(L9="","",IFERROR(L9/(1+(1-WACC!$B$9)*MAX(D9,0)/C9),""))</f>
        <v>1.6</v>
      </c>
      <c r="N9" s="160">
        <v>6160</v>
      </c>
      <c r="O9" s="161">
        <v>46.89</v>
      </c>
    </row>
    <row r="10" spans="1:15" x14ac:dyDescent="0.3">
      <c r="A10" s="1" t="s">
        <v>558</v>
      </c>
      <c r="B10" s="115" t="s">
        <v>559</v>
      </c>
      <c r="C10" s="158">
        <v>32020</v>
      </c>
      <c r="D10" s="158">
        <v>46030</v>
      </c>
      <c r="E10" s="9">
        <f>IF(C10="","",C10+D10)</f>
        <v>78050</v>
      </c>
      <c r="F10" s="157">
        <f>IFERROR(C10/O10,"")</f>
        <v>19888.198757763974</v>
      </c>
      <c r="G10" s="158">
        <v>3790</v>
      </c>
      <c r="H10" s="159">
        <f>IFERROR(F10/N10-1,"")</f>
        <v>1.6203160418661362</v>
      </c>
      <c r="I10" s="159">
        <f>IFERROR(G10/N10,"")</f>
        <v>0.49934123847167328</v>
      </c>
      <c r="J10" s="83">
        <f>IFERROR(E10/F10,"")</f>
        <v>3.924437851342911</v>
      </c>
      <c r="K10" s="83">
        <f>IFERROR(IF(G10&gt;0,E10/G10,"NM"),"")</f>
        <v>20.593667546174142</v>
      </c>
      <c r="L10" s="145"/>
      <c r="M10" s="51" t="str">
        <f>IF(L10="","",IFERROR(L10/(1+(1-WACC!$B$9)*MAX(D10,0)/C10),""))</f>
        <v/>
      </c>
      <c r="N10" s="160">
        <v>7590</v>
      </c>
      <c r="O10" s="161">
        <v>1.61</v>
      </c>
    </row>
    <row r="11" spans="1:15" x14ac:dyDescent="0.3">
      <c r="A11" s="1" t="s">
        <v>560</v>
      </c>
      <c r="B11" s="115" t="s">
        <v>561</v>
      </c>
      <c r="C11" s="158">
        <v>45920</v>
      </c>
      <c r="D11" s="158">
        <v>2150</v>
      </c>
      <c r="E11" s="9">
        <f>IF(C11="","",C11+D11)</f>
        <v>48070</v>
      </c>
      <c r="F11" s="158">
        <v>12240</v>
      </c>
      <c r="G11" s="158">
        <v>258</v>
      </c>
      <c r="H11" s="159">
        <f>IFERROR(F11/N11-1,"")</f>
        <v>8</v>
      </c>
      <c r="I11" s="159">
        <f>IFERROR(G11/N11,"")</f>
        <v>0.18970588235294117</v>
      </c>
      <c r="J11" s="83">
        <f>IFERROR(E11/F11,"")</f>
        <v>3.9272875816993462</v>
      </c>
      <c r="K11" s="83">
        <f>IFERROR(IF(G11&gt;0,E11/G11,"NM"),"")</f>
        <v>186.31782945736435</v>
      </c>
      <c r="L11" s="145">
        <v>1.46</v>
      </c>
      <c r="M11" s="51">
        <f>IF(L11="","",IFERROR(L11/(1+(1-WACC!$B$9)*MAX(D11,0)/C11),""))</f>
        <v>1.4091959096593834</v>
      </c>
      <c r="N11" s="160">
        <v>1360</v>
      </c>
      <c r="O11" s="161"/>
    </row>
    <row r="12" spans="1:15" x14ac:dyDescent="0.3">
      <c r="A12" s="27" t="s">
        <v>562</v>
      </c>
      <c r="B12" s="116"/>
      <c r="C12" s="96">
        <f>IFERROR(MEDIAN(C8:C11),"")</f>
        <v>259770</v>
      </c>
      <c r="D12" s="96"/>
      <c r="E12" s="96">
        <f>IFERROR(MEDIAN(E8:E11),"")</f>
        <v>271235</v>
      </c>
      <c r="F12" s="96">
        <f>IFERROR(MEDIAN(F8:F11),"")</f>
        <v>16064.099378881987</v>
      </c>
      <c r="G12" s="96">
        <f>IFERROR(MEDIAN(G8:G11),"")</f>
        <v>3225</v>
      </c>
      <c r="H12" s="117">
        <f>IFERROR(MEDIAN(H8:H11),"")</f>
        <v>1.1978859082908491</v>
      </c>
      <c r="I12" s="117">
        <f>IFERROR(MEDIAN(I8:I11),"")</f>
        <v>0.46557971014492755</v>
      </c>
      <c r="J12" s="118">
        <f>IFERROR(MEDIAN(J8:J11),"")</f>
        <v>6.8216977337068165</v>
      </c>
      <c r="K12" s="118">
        <f>IFERROR(MEDIAN(K8:K11),"")</f>
        <v>100.28052206832479</v>
      </c>
      <c r="L12" s="119">
        <f>IFERROR(MEDIAN(L8:L11),"")</f>
        <v>1.6</v>
      </c>
      <c r="M12" s="119">
        <f>IFERROR(MEDIAN(M8:M11),"")</f>
        <v>1.6</v>
      </c>
      <c r="N12" s="96">
        <f>IFERROR(MEDIAN(N8:N11),"")</f>
        <v>6875</v>
      </c>
      <c r="O12" s="119"/>
    </row>
    <row r="13" spans="1:15" x14ac:dyDescent="0.3">
      <c r="B13" s="115"/>
      <c r="C13" s="9"/>
      <c r="D13" s="9"/>
      <c r="E13" s="9"/>
      <c r="F13" s="9"/>
      <c r="G13" s="9"/>
      <c r="H13" s="56"/>
      <c r="I13" s="56"/>
      <c r="J13" s="83"/>
      <c r="K13" s="83"/>
      <c r="L13" s="51"/>
      <c r="M13" s="51"/>
    </row>
    <row r="14" spans="1:15" x14ac:dyDescent="0.3">
      <c r="B14" s="115"/>
      <c r="C14" s="9"/>
      <c r="D14" s="9"/>
      <c r="E14" s="9"/>
      <c r="F14" s="9"/>
      <c r="G14" s="9"/>
      <c r="H14" s="56"/>
      <c r="I14" s="56"/>
      <c r="J14" s="83"/>
      <c r="K14" s="83"/>
      <c r="L14" s="51"/>
      <c r="M14" s="51"/>
    </row>
    <row r="15" spans="1:15" x14ac:dyDescent="0.3">
      <c r="B15" s="115"/>
      <c r="C15" s="9"/>
      <c r="D15" s="9"/>
      <c r="E15" s="9"/>
      <c r="F15" s="9"/>
      <c r="G15" s="9"/>
      <c r="H15" s="56"/>
      <c r="I15" s="56"/>
      <c r="J15" s="83"/>
      <c r="K15" s="83"/>
      <c r="L15" s="51"/>
      <c r="M15" s="51"/>
    </row>
    <row r="16" spans="1:15" x14ac:dyDescent="0.3">
      <c r="A16" s="5" t="s">
        <v>563</v>
      </c>
      <c r="B16" s="120"/>
      <c r="C16" s="121"/>
      <c r="D16" s="121"/>
      <c r="E16" s="121"/>
      <c r="F16" s="121"/>
      <c r="G16" s="121"/>
      <c r="H16" s="122"/>
      <c r="I16" s="122"/>
      <c r="J16" s="123"/>
      <c r="K16" s="123"/>
      <c r="L16" s="124"/>
      <c r="M16" s="124"/>
      <c r="N16" s="124"/>
      <c r="O16" s="124"/>
    </row>
    <row r="17" spans="1:15" x14ac:dyDescent="0.3">
      <c r="A17" s="1" t="s">
        <v>564</v>
      </c>
      <c r="B17" s="115" t="s">
        <v>565</v>
      </c>
      <c r="C17" s="158">
        <v>3900000</v>
      </c>
      <c r="D17" s="158">
        <v>51970</v>
      </c>
      <c r="E17" s="9">
        <f>IF(C17="","",C17+D17)</f>
        <v>3951970</v>
      </c>
      <c r="F17" s="158">
        <v>468550</v>
      </c>
      <c r="G17" s="158">
        <v>194240</v>
      </c>
      <c r="H17" s="159">
        <f>IFERROR(F17/N17-1,"")</f>
        <v>0.41197565091610411</v>
      </c>
      <c r="I17" s="159">
        <f>IFERROR(G17/N17,"")</f>
        <v>0.58534233365477339</v>
      </c>
      <c r="J17" s="83">
        <f>IFERROR(E17/F17,"")</f>
        <v>8.434468039696938</v>
      </c>
      <c r="K17" s="83">
        <f>IFERROR(IF(G17&gt;0,E17/G17,"NM"),"")</f>
        <v>20.345809308072489</v>
      </c>
      <c r="L17" s="145">
        <v>1.1000000000000001</v>
      </c>
      <c r="M17" s="51">
        <f>IF(L17="","",IFERROR(L17/(1+(1-WACC!$B$9)*MAX(D17,0)/C17),""))</f>
        <v>1.088827816956826</v>
      </c>
      <c r="N17" s="160">
        <v>331840</v>
      </c>
      <c r="O17" s="161"/>
    </row>
    <row r="18" spans="1:15" x14ac:dyDescent="0.3">
      <c r="A18" s="1" t="s">
        <v>566</v>
      </c>
      <c r="B18" s="115" t="s">
        <v>567</v>
      </c>
      <c r="C18" s="158">
        <v>3890000</v>
      </c>
      <c r="D18" s="158">
        <v>-121680</v>
      </c>
      <c r="E18" s="9">
        <f>IF(C18="","",C18+D18)</f>
        <v>3768320</v>
      </c>
      <c r="F18" s="157">
        <f>IFERROR(C18/O18,"")</f>
        <v>558106.16929698712</v>
      </c>
      <c r="G18" s="158">
        <v>173160</v>
      </c>
      <c r="H18" s="159">
        <f>IFERROR(F18/N18-1,"")</f>
        <v>0.25172397626435306</v>
      </c>
      <c r="I18" s="159">
        <f>IFERROR(G18/N18,"")</f>
        <v>0.38836432143898447</v>
      </c>
      <c r="J18" s="83">
        <f>IFERROR(E18/F18,"")</f>
        <v>6.7519769665809761</v>
      </c>
      <c r="K18" s="83">
        <f>IFERROR(IF(G18&gt;0,E18/G18,"NM"),"")</f>
        <v>21.762069762069761</v>
      </c>
      <c r="L18" s="145">
        <v>1.21</v>
      </c>
      <c r="M18" s="51">
        <f>IF(L18="","",IFERROR(L18/(1+(1-WACC!$B$9)*MAX(D18,0)/C18),""))</f>
        <v>1.21</v>
      </c>
      <c r="N18" s="160">
        <v>445870</v>
      </c>
      <c r="O18" s="161">
        <v>6.97</v>
      </c>
    </row>
    <row r="19" spans="1:15" x14ac:dyDescent="0.3">
      <c r="A19" s="1" t="s">
        <v>568</v>
      </c>
      <c r="B19" s="115" t="s">
        <v>569</v>
      </c>
      <c r="C19" s="158">
        <v>2710000</v>
      </c>
      <c r="D19" s="158">
        <v>128650</v>
      </c>
      <c r="E19" s="9">
        <f>IF(C19="","",C19+D19)</f>
        <v>2838650</v>
      </c>
      <c r="F19" s="157">
        <f>IFERROR(C19/O19,"")</f>
        <v>891447.36842105258</v>
      </c>
      <c r="G19" s="158">
        <v>168910</v>
      </c>
      <c r="H19" s="159">
        <f>IFERROR(F19/N19-1,"")</f>
        <v>0.1492462979850615</v>
      </c>
      <c r="I19" s="159">
        <f>IFERROR(G19/N19,"")</f>
        <v>0.21775732260726072</v>
      </c>
      <c r="J19" s="83">
        <f>IFERROR(E19/F19,"")</f>
        <v>3.1843158671586718</v>
      </c>
      <c r="K19" s="83">
        <f>IFERROR(IF(G19&gt;0,E19/G19,"NM"),"")</f>
        <v>16.805695340713989</v>
      </c>
      <c r="L19" s="145">
        <v>1.46</v>
      </c>
      <c r="M19" s="51">
        <f>IF(L19="","",IFERROR(L19/(1+(1-WACC!$B$9)*MAX(D19,0)/C19),""))</f>
        <v>1.4085136293789329</v>
      </c>
      <c r="N19" s="160">
        <v>775680</v>
      </c>
      <c r="O19" s="161">
        <v>3.04</v>
      </c>
    </row>
    <row r="20" spans="1:15" x14ac:dyDescent="0.3">
      <c r="A20" s="1" t="s">
        <v>570</v>
      </c>
      <c r="B20" s="115" t="s">
        <v>571</v>
      </c>
      <c r="C20" s="158">
        <v>1590000</v>
      </c>
      <c r="D20" s="158">
        <v>32390</v>
      </c>
      <c r="E20" s="9">
        <f>IF(C20="","",C20+D20)</f>
        <v>1622390</v>
      </c>
      <c r="F20" s="157">
        <f>IFERROR(C20/O20,"")</f>
        <v>291743.11926605506</v>
      </c>
      <c r="G20" s="158">
        <v>116190</v>
      </c>
      <c r="H20" s="159">
        <f>IFERROR(F20/N20-1,"")</f>
        <v>0.20749604431130764</v>
      </c>
      <c r="I20" s="159">
        <f>IFERROR(G20/N20,"")</f>
        <v>0.48089896941351767</v>
      </c>
      <c r="J20" s="83">
        <f>IFERROR(E20/F20,"")</f>
        <v>5.5610223270440251</v>
      </c>
      <c r="K20" s="83">
        <f>IFERROR(IF(G20&gt;0,E20/G20,"NM"),"")</f>
        <v>13.963249849384628</v>
      </c>
      <c r="L20" s="145">
        <v>1.19</v>
      </c>
      <c r="M20" s="51">
        <f>IF(L20="","",IFERROR(L20/(1+(1-WACC!$B$9)*MAX(D20,0)/C20),""))</f>
        <v>1.1716222574914998</v>
      </c>
      <c r="N20" s="160">
        <v>241610</v>
      </c>
      <c r="O20" s="161">
        <v>5.45</v>
      </c>
    </row>
    <row r="21" spans="1:15" x14ac:dyDescent="0.3">
      <c r="A21" s="1" t="s">
        <v>572</v>
      </c>
      <c r="B21" s="115" t="s">
        <v>573</v>
      </c>
      <c r="C21" s="158">
        <v>392880</v>
      </c>
      <c r="D21" s="158">
        <v>132070</v>
      </c>
      <c r="E21" s="9">
        <f>IF(C21="","",C21+D21)</f>
        <v>524950</v>
      </c>
      <c r="F21" s="157">
        <f>IFERROR(C21/O21,"")</f>
        <v>101519.37984496124</v>
      </c>
      <c r="G21" s="158">
        <v>34430</v>
      </c>
      <c r="H21" s="159">
        <f>IFERROR(F21/N21-1,"")</f>
        <v>0.41431289836947949</v>
      </c>
      <c r="I21" s="159">
        <f>IFERROR(G21/N21,"")</f>
        <v>0.47966007244357761</v>
      </c>
      <c r="J21" s="83">
        <f>IFERROR(E21/F21,"")</f>
        <v>5.1709338729383019</v>
      </c>
      <c r="K21" s="83">
        <f>IFERROR(IF(G21&gt;0,E21/G21,"NM"),"")</f>
        <v>15.246877722916061</v>
      </c>
      <c r="L21" s="145">
        <v>1.77</v>
      </c>
      <c r="M21" s="51">
        <f>IF(L21="","",IFERROR(L21/(1+(1-WACC!$B$9)*MAX(D21,0)/C21),""))</f>
        <v>1.406053978990804</v>
      </c>
      <c r="N21" s="160">
        <v>71780</v>
      </c>
      <c r="O21" s="161">
        <v>3.87</v>
      </c>
    </row>
    <row r="22" spans="1:15" x14ac:dyDescent="0.3">
      <c r="A22" s="27" t="s">
        <v>562</v>
      </c>
      <c r="B22" s="116"/>
      <c r="C22" s="96">
        <f>IFERROR(MEDIAN(C17:C21),"")</f>
        <v>2710000</v>
      </c>
      <c r="D22" s="96"/>
      <c r="E22" s="96">
        <f>IFERROR(MEDIAN(E17:E21),"")</f>
        <v>2838650</v>
      </c>
      <c r="F22" s="96">
        <f>IFERROR(MEDIAN(F17:F21),"")</f>
        <v>468550</v>
      </c>
      <c r="G22" s="96">
        <f>IFERROR(MEDIAN(G17:G21),"")</f>
        <v>168910</v>
      </c>
      <c r="H22" s="117">
        <f>IFERROR(MEDIAN(H17:H21),"")</f>
        <v>0.25172397626435306</v>
      </c>
      <c r="I22" s="117">
        <f>IFERROR(MEDIAN(I17:I21),"")</f>
        <v>0.47966007244357761</v>
      </c>
      <c r="J22" s="118">
        <f>IFERROR(MEDIAN(J17:J21),"")</f>
        <v>5.5610223270440251</v>
      </c>
      <c r="K22" s="118">
        <f>IFERROR(MEDIAN(K17:K21),"")</f>
        <v>16.805695340713989</v>
      </c>
      <c r="L22" s="119">
        <f>IFERROR(MEDIAN(L17:L21),"")</f>
        <v>1.21</v>
      </c>
      <c r="M22" s="119">
        <f>IFERROR(MEDIAN(M17:M21),"")</f>
        <v>1.21</v>
      </c>
      <c r="N22" s="96">
        <f>IFERROR(MEDIAN(N17:N21),"")</f>
        <v>331840</v>
      </c>
      <c r="O22" s="119"/>
    </row>
    <row r="23" spans="1:15" x14ac:dyDescent="0.3">
      <c r="B23" s="115"/>
      <c r="C23" s="9"/>
      <c r="D23" s="9"/>
      <c r="E23" s="9"/>
      <c r="F23" s="9"/>
      <c r="G23" s="9"/>
      <c r="H23" s="56"/>
      <c r="I23" s="56"/>
      <c r="J23" s="83"/>
      <c r="K23" s="83"/>
      <c r="L23" s="51"/>
      <c r="M23" s="51"/>
    </row>
    <row r="24" spans="1:15" x14ac:dyDescent="0.3">
      <c r="B24" s="115"/>
      <c r="C24" s="9"/>
      <c r="D24" s="9"/>
      <c r="E24" s="9"/>
      <c r="F24" s="9"/>
      <c r="G24" s="9"/>
      <c r="H24" s="56"/>
      <c r="I24" s="56"/>
      <c r="J24" s="83"/>
      <c r="K24" s="83"/>
      <c r="L24" s="51"/>
      <c r="M24" s="51"/>
    </row>
    <row r="25" spans="1:15" x14ac:dyDescent="0.3">
      <c r="B25" s="115"/>
      <c r="C25" s="9"/>
      <c r="D25" s="9"/>
      <c r="E25" s="9"/>
      <c r="F25" s="9"/>
      <c r="G25" s="9"/>
      <c r="H25" s="56"/>
      <c r="I25" s="56"/>
      <c r="J25" s="83"/>
      <c r="K25" s="83"/>
      <c r="L25" s="51"/>
      <c r="M25" s="51"/>
    </row>
    <row r="26" spans="1:15" x14ac:dyDescent="0.3">
      <c r="A26" s="5" t="s">
        <v>574</v>
      </c>
      <c r="B26" s="120"/>
      <c r="C26" s="121"/>
      <c r="D26" s="121"/>
      <c r="E26" s="121"/>
      <c r="F26" s="121"/>
      <c r="G26" s="121"/>
      <c r="H26" s="122"/>
      <c r="I26" s="122"/>
      <c r="J26" s="123"/>
      <c r="K26" s="123"/>
      <c r="L26" s="124"/>
      <c r="M26" s="124"/>
      <c r="N26" s="124"/>
      <c r="O26" s="124"/>
    </row>
    <row r="27" spans="1:15" x14ac:dyDescent="0.3">
      <c r="A27" s="1" t="s">
        <v>575</v>
      </c>
      <c r="B27" s="115" t="s">
        <v>576</v>
      </c>
      <c r="C27" s="158">
        <v>159080</v>
      </c>
      <c r="D27" s="158">
        <v>1750</v>
      </c>
      <c r="E27" s="9">
        <f>IF(C27="","",C27+D27)</f>
        <v>160830</v>
      </c>
      <c r="F27" s="157">
        <f>IFERROR(C27/O27,"")</f>
        <v>17197.837837837837</v>
      </c>
      <c r="G27" s="158">
        <v>2900</v>
      </c>
      <c r="H27" s="159">
        <f>IFERROR(F27/N27-1,"")</f>
        <v>0.16753821030806759</v>
      </c>
      <c r="I27" s="159">
        <f>IFERROR(G27/N27,"")</f>
        <v>0.19687712152070605</v>
      </c>
      <c r="J27" s="83">
        <f>IFERROR(E27/F27,"")</f>
        <v>9.3517569776213225</v>
      </c>
      <c r="K27" s="83">
        <f>IFERROR(IF(G27&gt;0,E27/G27,"NM"),"")</f>
        <v>55.45862068965517</v>
      </c>
      <c r="L27" s="145">
        <v>0.99</v>
      </c>
      <c r="M27" s="51">
        <f>IF(L27="","",IFERROR(L27/(1+(1-WACC!$B$9)*MAX(D27,0)/C27),""))</f>
        <v>0.98168456156207629</v>
      </c>
      <c r="N27" s="160">
        <v>14730</v>
      </c>
      <c r="O27" s="161">
        <v>9.25</v>
      </c>
    </row>
    <row r="28" spans="1:15" x14ac:dyDescent="0.3">
      <c r="A28" s="1" t="s">
        <v>577</v>
      </c>
      <c r="B28" s="115" t="s">
        <v>578</v>
      </c>
      <c r="C28" s="158">
        <v>198250</v>
      </c>
      <c r="D28" s="158">
        <v>30970</v>
      </c>
      <c r="E28" s="9">
        <f>IF(C28="","",C28+D28)</f>
        <v>229220</v>
      </c>
      <c r="F28" s="157">
        <f>IFERROR(C28/O28,"")</f>
        <v>48471.882640586802</v>
      </c>
      <c r="G28" s="158">
        <v>12900</v>
      </c>
      <c r="H28" s="159">
        <f>IFERROR(F28/N28-1,"")</f>
        <v>0.1031379754343833</v>
      </c>
      <c r="I28" s="159">
        <f>IFERROR(G28/N28,"")</f>
        <v>0.29358215748748295</v>
      </c>
      <c r="J28" s="83">
        <f>IFERROR(E28/F28,"")</f>
        <v>4.7289271122320296</v>
      </c>
      <c r="K28" s="83">
        <f>IFERROR(IF(G28&gt;0,E28/G28,"NM"),"")</f>
        <v>17.768992248062016</v>
      </c>
      <c r="L28" s="145">
        <v>1.26</v>
      </c>
      <c r="M28" s="51">
        <f>IF(L28="","",IFERROR(L28/(1+(1-WACC!$B$9)*MAX(D28,0)/C28),""))</f>
        <v>1.1247117812090128</v>
      </c>
      <c r="N28" s="160">
        <v>43940</v>
      </c>
      <c r="O28" s="161">
        <v>4.09</v>
      </c>
    </row>
    <row r="29" spans="1:15" x14ac:dyDescent="0.3">
      <c r="A29" s="1" t="s">
        <v>579</v>
      </c>
      <c r="B29" s="115" t="s">
        <v>580</v>
      </c>
      <c r="C29" s="158">
        <v>118130</v>
      </c>
      <c r="D29" s="158">
        <v>-1570</v>
      </c>
      <c r="E29" s="9">
        <f>IF(C29="","",C29+D29)</f>
        <v>116560</v>
      </c>
      <c r="F29" s="157">
        <f>IFERROR(C29/O29,"")</f>
        <v>7172.4347298117791</v>
      </c>
      <c r="G29" s="158">
        <v>-1040</v>
      </c>
      <c r="H29" s="159">
        <f>IFERROR(F29/N29-1,"")</f>
        <v>0.32089037381432406</v>
      </c>
      <c r="I29" s="159">
        <f>IFERROR(G29/N29,"")</f>
        <v>-0.19152854511970535</v>
      </c>
      <c r="J29" s="83">
        <f>IFERROR(E29/F29,"")</f>
        <v>16.25110640819436</v>
      </c>
      <c r="K29" s="83" t="str">
        <f>IFERROR(IF(G29&gt;0,E29/G29,"NM"),"")</f>
        <v>NM</v>
      </c>
      <c r="L29" s="145">
        <v>1.35</v>
      </c>
      <c r="M29" s="51">
        <f>IF(L29="","",IFERROR(L29/(1+(1-WACC!$B$9)*MAX(D29,0)/C29),""))</f>
        <v>1.35</v>
      </c>
      <c r="N29" s="160">
        <v>5430</v>
      </c>
      <c r="O29" s="161">
        <v>16.47</v>
      </c>
    </row>
    <row r="30" spans="1:15" x14ac:dyDescent="0.3">
      <c r="A30" s="1" t="s">
        <v>581</v>
      </c>
      <c r="B30" s="115" t="s">
        <v>582</v>
      </c>
      <c r="C30" s="158">
        <v>99180</v>
      </c>
      <c r="D30" s="158">
        <v>-3710</v>
      </c>
      <c r="E30" s="9">
        <f>IF(C30="","",C30+D30)</f>
        <v>95470</v>
      </c>
      <c r="F30" s="157">
        <f>IFERROR(C30/O30,"")</f>
        <v>4868.9248895434457</v>
      </c>
      <c r="G30" s="158">
        <v>82.9</v>
      </c>
      <c r="H30" s="159">
        <f>IFERROR(F30/N30-1,"")</f>
        <v>0.22642944320993585</v>
      </c>
      <c r="I30" s="159">
        <f>IFERROR(G30/N30,"")</f>
        <v>2.0881612090680103E-2</v>
      </c>
      <c r="J30" s="83">
        <f>IFERROR(E30/F30,"")</f>
        <v>19.608024803387782</v>
      </c>
      <c r="K30" s="83">
        <f>IFERROR(IF(G30&gt;0,E30/G30,"NM"),"")</f>
        <v>1151.6284680337756</v>
      </c>
      <c r="L30" s="145">
        <v>1.51</v>
      </c>
      <c r="M30" s="51">
        <f>IF(L30="","",IFERROR(L30/(1+(1-WACC!$B$9)*MAX(D30,0)/C30),""))</f>
        <v>1.51</v>
      </c>
      <c r="N30" s="160">
        <v>3970</v>
      </c>
      <c r="O30" s="161">
        <v>20.37</v>
      </c>
    </row>
    <row r="31" spans="1:15" x14ac:dyDescent="0.3">
      <c r="A31" s="27" t="s">
        <v>562</v>
      </c>
      <c r="B31" s="116"/>
      <c r="C31" s="96">
        <f>IFERROR(MEDIAN(C27:C30),"")</f>
        <v>138605</v>
      </c>
      <c r="D31" s="96"/>
      <c r="E31" s="96">
        <f>IFERROR(MEDIAN(E27:E30),"")</f>
        <v>138695</v>
      </c>
      <c r="F31" s="96">
        <f>IFERROR(MEDIAN(F27:F30),"")</f>
        <v>12185.136283824808</v>
      </c>
      <c r="G31" s="96">
        <f>IFERROR(MEDIAN(G27:G30),"")</f>
        <v>1491.45</v>
      </c>
      <c r="H31" s="117">
        <f>IFERROR(MEDIAN(H27:H30),"")</f>
        <v>0.19698382675900172</v>
      </c>
      <c r="I31" s="117">
        <f>IFERROR(MEDIAN(I27:I30),"")</f>
        <v>0.10887936680569307</v>
      </c>
      <c r="J31" s="118">
        <f>IFERROR(MEDIAN(J27:J30),"")</f>
        <v>12.80143169290784</v>
      </c>
      <c r="K31" s="118">
        <f>IFERROR(MEDIAN(K27:K30),"")</f>
        <v>55.45862068965517</v>
      </c>
      <c r="L31" s="119">
        <f>IFERROR(MEDIAN(L27:L30),"")</f>
        <v>1.3050000000000002</v>
      </c>
      <c r="M31" s="119">
        <f>IFERROR(MEDIAN(M27:M30),"")</f>
        <v>1.2373558906045066</v>
      </c>
      <c r="N31" s="96">
        <f>IFERROR(MEDIAN(N27:N30),"")</f>
        <v>10080</v>
      </c>
      <c r="O31" s="119"/>
    </row>
    <row r="32" spans="1:15" x14ac:dyDescent="0.3">
      <c r="B32" s="115"/>
      <c r="C32" s="9"/>
      <c r="D32" s="9"/>
      <c r="E32" s="9"/>
      <c r="F32" s="9"/>
      <c r="G32" s="9"/>
      <c r="H32" s="56"/>
      <c r="I32" s="56"/>
      <c r="J32" s="83"/>
      <c r="K32" s="83"/>
      <c r="L32" s="51"/>
      <c r="M32" s="51"/>
    </row>
    <row r="33" spans="1:15" x14ac:dyDescent="0.3">
      <c r="B33" s="115"/>
      <c r="C33" s="9"/>
      <c r="D33" s="9"/>
      <c r="E33" s="9"/>
      <c r="F33" s="9"/>
      <c r="G33" s="9"/>
      <c r="H33" s="56"/>
      <c r="I33" s="56"/>
      <c r="J33" s="83"/>
      <c r="K33" s="83"/>
      <c r="L33" s="51"/>
      <c r="M33" s="51"/>
    </row>
    <row r="34" spans="1:15" x14ac:dyDescent="0.3">
      <c r="B34" s="115"/>
      <c r="C34" s="9"/>
      <c r="D34" s="9"/>
      <c r="E34" s="9"/>
      <c r="F34" s="9"/>
      <c r="G34" s="9"/>
      <c r="H34" s="56"/>
      <c r="I34" s="56"/>
      <c r="J34" s="83"/>
      <c r="K34" s="83"/>
      <c r="L34" s="51"/>
      <c r="M34" s="51"/>
    </row>
    <row r="35" spans="1:15" x14ac:dyDescent="0.3">
      <c r="A35" s="5" t="s">
        <v>583</v>
      </c>
      <c r="B35" s="120"/>
      <c r="C35" s="121"/>
      <c r="D35" s="121"/>
      <c r="E35" s="121"/>
      <c r="F35" s="121"/>
      <c r="G35" s="121"/>
      <c r="H35" s="122"/>
      <c r="I35" s="122"/>
      <c r="J35" s="123"/>
      <c r="K35" s="123"/>
      <c r="L35" s="124"/>
      <c r="M35" s="124"/>
      <c r="N35" s="124"/>
      <c r="O35" s="124"/>
    </row>
    <row r="36" spans="1:15" x14ac:dyDescent="0.3">
      <c r="A36" s="1" t="s">
        <v>849</v>
      </c>
      <c r="B36" s="115"/>
      <c r="C36" s="9"/>
      <c r="D36" s="9"/>
      <c r="E36" s="9"/>
      <c r="F36" s="9"/>
      <c r="G36" s="9"/>
      <c r="H36" s="56"/>
      <c r="I36" s="56"/>
      <c r="J36" s="83"/>
      <c r="K36" s="83">
        <f>IFERROR(MEDIAN(J8:J11,J17:J21,J27:J30),"")</f>
        <v>6.7519769665809761</v>
      </c>
      <c r="L36" s="51"/>
      <c r="M36" s="51"/>
    </row>
    <row r="37" spans="1:15" x14ac:dyDescent="0.3">
      <c r="A37" s="1" t="s">
        <v>850</v>
      </c>
      <c r="B37" s="115"/>
      <c r="C37" s="9"/>
      <c r="D37" s="9"/>
      <c r="E37" s="9"/>
      <c r="F37" s="9"/>
      <c r="G37" s="9"/>
      <c r="H37" s="56"/>
      <c r="I37" s="56"/>
      <c r="J37" s="83"/>
      <c r="K37" s="83">
        <f>IFERROR(MEDIAN(K8:K11,K17:K21,K27:K30),"")</f>
        <v>21.177868654121951</v>
      </c>
      <c r="L37" s="51"/>
      <c r="M37" s="51"/>
    </row>
    <row r="38" spans="1:15" x14ac:dyDescent="0.3">
      <c r="A38" s="1" t="s">
        <v>584</v>
      </c>
      <c r="B38" s="115"/>
      <c r="C38" s="9"/>
      <c r="D38" s="9"/>
      <c r="E38" s="9"/>
      <c r="F38" s="9"/>
      <c r="G38" s="9"/>
      <c r="H38" s="56"/>
      <c r="I38" s="56"/>
      <c r="J38" s="83"/>
      <c r="K38" s="51">
        <f>IFERROR(MEDIAN(M8:M11,M17:M21,M27:M30),"")</f>
        <v>1.378026989495402</v>
      </c>
      <c r="L38" s="51"/>
      <c r="M38" s="51"/>
    </row>
    <row r="39" spans="1:15" x14ac:dyDescent="0.3">
      <c r="A39" s="1" t="s">
        <v>851</v>
      </c>
      <c r="B39" s="115"/>
      <c r="C39" s="9"/>
      <c r="D39" s="9"/>
      <c r="E39" s="9"/>
      <c r="F39" s="9"/>
      <c r="G39" s="9"/>
      <c r="H39" s="56"/>
      <c r="I39" s="56"/>
      <c r="J39" s="83"/>
      <c r="K39" s="68">
        <f>'DCF Base'!F65</f>
        <v>113368.658</v>
      </c>
      <c r="L39" s="51"/>
      <c r="M39" s="51"/>
    </row>
    <row r="40" spans="1:15" x14ac:dyDescent="0.3">
      <c r="A40" s="1" t="s">
        <v>852</v>
      </c>
      <c r="B40" s="115"/>
      <c r="C40" s="9"/>
      <c r="D40" s="9"/>
      <c r="E40" s="9"/>
      <c r="F40" s="9"/>
      <c r="G40" s="9"/>
      <c r="H40" s="56"/>
      <c r="I40" s="56"/>
      <c r="J40" s="83"/>
      <c r="K40" s="68">
        <f>'DCF Base'!E114</f>
        <v>1943.1984656735076</v>
      </c>
      <c r="L40" s="51"/>
      <c r="M40" s="51"/>
    </row>
    <row r="41" spans="1:15" x14ac:dyDescent="0.3">
      <c r="A41" s="1" t="s">
        <v>853</v>
      </c>
      <c r="B41" s="115"/>
      <c r="C41" s="9"/>
      <c r="D41" s="9"/>
      <c r="E41" s="9"/>
      <c r="F41" s="9"/>
      <c r="G41" s="9"/>
      <c r="H41" s="56"/>
      <c r="I41" s="56"/>
      <c r="J41" s="83"/>
      <c r="K41" s="67">
        <f>IFERROR(K36*K39,"")</f>
        <v>765462.56754819606</v>
      </c>
      <c r="L41" s="51"/>
      <c r="M41" s="51"/>
    </row>
    <row r="42" spans="1:15" x14ac:dyDescent="0.3">
      <c r="A42" s="1" t="s">
        <v>854</v>
      </c>
      <c r="B42" s="115"/>
      <c r="C42" s="9"/>
      <c r="D42" s="9"/>
      <c r="E42" s="9"/>
      <c r="F42" s="9"/>
      <c r="G42" s="9"/>
      <c r="H42" s="56"/>
      <c r="I42" s="56"/>
      <c r="J42" s="83"/>
      <c r="K42" s="69">
        <f>IFERROR((K41+WACC!$B$62)/WACC!$B$52,"")</f>
        <v>58.5263679567948</v>
      </c>
      <c r="L42" s="51"/>
      <c r="M42" s="51"/>
    </row>
    <row r="43" spans="1:15" x14ac:dyDescent="0.3">
      <c r="A43" s="1" t="s">
        <v>855</v>
      </c>
      <c r="B43" s="115"/>
      <c r="C43" s="9"/>
      <c r="D43" s="9"/>
      <c r="E43" s="9"/>
      <c r="F43" s="9"/>
      <c r="G43" s="9"/>
      <c r="H43" s="56"/>
      <c r="I43" s="56"/>
      <c r="J43" s="83"/>
      <c r="K43" s="62">
        <f>'DCF Base'!B175/K39</f>
        <v>6.474551175706809</v>
      </c>
      <c r="L43" s="51"/>
      <c r="M43" s="51"/>
    </row>
    <row r="45" spans="1:15" x14ac:dyDescent="0.3">
      <c r="A45"/>
    </row>
    <row r="100" spans="1:1" x14ac:dyDescent="0.3">
      <c r="A100" s="183" t="s">
        <v>932</v>
      </c>
    </row>
  </sheetData>
  <sheetProtection algorithmName="SHA-512" hashValue="9pTlpoBOOb84mn7k5gEsmKn0l5SEd4tcYiSJnArmtV20oaYJ+/MPA/J0Nyo2TbP/s6s2G2mud9ru3uw1/ds+fw==" saltValue="uKVyS4wGsgwoi5ewnMJDmQ==" spinCount="100000" sheet="1" objects="1" scenarios="1" sort="0" autoFilter="0"/>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19AF1-B1E5-4D1E-8916-047847711839}">
  <sheetPr>
    <tabColor rgb="FF141413"/>
  </sheetPr>
  <dimension ref="A1:Z100"/>
  <sheetViews>
    <sheetView showGridLines="0" workbookViewId="0">
      <pane ySplit="2" topLeftCell="A3" activePane="bottomLeft" state="frozen"/>
      <selection pane="bottomLeft" activeCell="H17" sqref="H17"/>
    </sheetView>
  </sheetViews>
  <sheetFormatPr defaultRowHeight="14.4" x14ac:dyDescent="0.3"/>
  <cols>
    <col min="1" max="1" width="55.5546875" style="1" customWidth="1"/>
    <col min="2" max="9" width="17.5546875" style="1" customWidth="1"/>
    <col min="10" max="26" width="8.88671875" style="1"/>
  </cols>
  <sheetData>
    <row r="1" spans="1:6" ht="30" customHeight="1" x14ac:dyDescent="0.4">
      <c r="A1" s="2" t="s">
        <v>879</v>
      </c>
    </row>
    <row r="2" spans="1:6" x14ac:dyDescent="0.3">
      <c r="A2" s="24" t="s">
        <v>504</v>
      </c>
    </row>
    <row r="4" spans="1:6" x14ac:dyDescent="0.3">
      <c r="A4" s="5" t="s">
        <v>322</v>
      </c>
      <c r="B4" s="5"/>
      <c r="C4" s="5"/>
      <c r="D4" s="5"/>
      <c r="E4" s="5"/>
      <c r="F4" s="5"/>
    </row>
    <row r="5" spans="1:6" x14ac:dyDescent="0.3">
      <c r="A5" s="1" t="s">
        <v>323</v>
      </c>
      <c r="B5" s="173" t="s">
        <v>8</v>
      </c>
      <c r="C5" s="24" t="s">
        <v>505</v>
      </c>
    </row>
    <row r="6" spans="1:6" x14ac:dyDescent="0.3">
      <c r="A6" s="1" t="s">
        <v>324</v>
      </c>
      <c r="B6" s="173">
        <v>6</v>
      </c>
      <c r="C6" s="24" t="s">
        <v>506</v>
      </c>
    </row>
    <row r="7" spans="1:6" x14ac:dyDescent="0.3">
      <c r="A7" s="1" t="s">
        <v>325</v>
      </c>
      <c r="B7" s="173" t="s">
        <v>76</v>
      </c>
      <c r="C7" s="24" t="s">
        <v>507</v>
      </c>
    </row>
    <row r="8" spans="1:6" x14ac:dyDescent="0.3">
      <c r="A8" s="1" t="s">
        <v>326</v>
      </c>
      <c r="B8" s="174">
        <f>DATE(2026,6,30)</f>
        <v>46203</v>
      </c>
      <c r="C8" s="24" t="s">
        <v>508</v>
      </c>
    </row>
    <row r="9" spans="1:6" x14ac:dyDescent="0.3">
      <c r="A9" s="1" t="s">
        <v>327</v>
      </c>
      <c r="B9" s="173" t="s">
        <v>44</v>
      </c>
      <c r="C9" s="24" t="s">
        <v>509</v>
      </c>
    </row>
    <row r="10" spans="1:6" x14ac:dyDescent="0.3">
      <c r="A10" s="1" t="s">
        <v>703</v>
      </c>
      <c r="B10" s="174">
        <f>DATE(2026,12,31)</f>
        <v>46387</v>
      </c>
      <c r="C10" s="24" t="s">
        <v>709</v>
      </c>
    </row>
    <row r="11" spans="1:6" x14ac:dyDescent="0.3">
      <c r="A11" s="1" t="s">
        <v>704</v>
      </c>
      <c r="B11" s="174">
        <f>DATE(2026,10,27)</f>
        <v>46322</v>
      </c>
      <c r="C11" s="24" t="s">
        <v>710</v>
      </c>
    </row>
    <row r="12" spans="1:6" x14ac:dyDescent="0.3">
      <c r="A12" s="1" t="s">
        <v>705</v>
      </c>
      <c r="B12" s="174">
        <f>DATE(2031,12,31)</f>
        <v>48213</v>
      </c>
      <c r="C12" s="24" t="s">
        <v>711</v>
      </c>
    </row>
    <row r="13" spans="1:6" x14ac:dyDescent="0.3">
      <c r="A13" s="1" t="s">
        <v>706</v>
      </c>
      <c r="B13" s="144">
        <f>Historicals!H174-SUM(Historicals!E33:G33)</f>
        <v>16654</v>
      </c>
      <c r="C13" s="24" t="s">
        <v>712</v>
      </c>
    </row>
    <row r="14" spans="1:6" x14ac:dyDescent="0.3">
      <c r="A14" s="1" t="s">
        <v>707</v>
      </c>
      <c r="B14" s="146">
        <f>MAX(0,(B11-B8)/365)</f>
        <v>0.32602739726027397</v>
      </c>
      <c r="C14" s="24" t="s">
        <v>713</v>
      </c>
    </row>
    <row r="15" spans="1:6" x14ac:dyDescent="0.3">
      <c r="A15" s="1" t="s">
        <v>708</v>
      </c>
      <c r="B15" s="147">
        <f>(1+WACC!B18)^B14</f>
        <v>1.0421385725167158</v>
      </c>
      <c r="C15" s="24" t="s">
        <v>714</v>
      </c>
    </row>
    <row r="16" spans="1:6" ht="15" customHeight="1" x14ac:dyDescent="0.3">
      <c r="A16" s="1" t="s">
        <v>915</v>
      </c>
      <c r="B16" s="182">
        <v>0.05</v>
      </c>
      <c r="C16" s="24" t="s">
        <v>916</v>
      </c>
    </row>
    <row r="17" spans="1:9" x14ac:dyDescent="0.3">
      <c r="A17" s="5" t="s">
        <v>510</v>
      </c>
      <c r="B17" s="5"/>
      <c r="C17" s="5"/>
      <c r="D17" s="5"/>
      <c r="E17" s="5"/>
      <c r="F17" s="5"/>
      <c r="G17" s="5"/>
      <c r="H17" s="5"/>
      <c r="I17" s="5"/>
    </row>
    <row r="18" spans="1:9" x14ac:dyDescent="0.3">
      <c r="A18" s="6" t="s">
        <v>511</v>
      </c>
      <c r="B18" s="7" t="s">
        <v>4</v>
      </c>
      <c r="C18" s="7" t="s">
        <v>5</v>
      </c>
      <c r="D18" s="7" t="s">
        <v>6</v>
      </c>
      <c r="E18" s="7" t="s">
        <v>192</v>
      </c>
      <c r="F18" s="7" t="s">
        <v>193</v>
      </c>
      <c r="G18" s="7" t="s">
        <v>194</v>
      </c>
      <c r="H18" s="7" t="s">
        <v>195</v>
      </c>
      <c r="I18" s="7" t="s">
        <v>196</v>
      </c>
    </row>
    <row r="19" spans="1:9" x14ac:dyDescent="0.3">
      <c r="A19" s="10" t="s">
        <v>512</v>
      </c>
      <c r="B19" s="87">
        <f>'DCF Base'!B65</f>
        <v>41</v>
      </c>
      <c r="C19" s="87">
        <f>'DCF Base'!C65</f>
        <v>386</v>
      </c>
      <c r="D19" s="87">
        <f>'DCF Base'!D65</f>
        <v>4585</v>
      </c>
      <c r="E19" s="87">
        <f>'DCF Base'!E65</f>
        <v>54504.162499999999</v>
      </c>
      <c r="F19" s="87">
        <f>'DCF Base'!F65</f>
        <v>113368.658</v>
      </c>
      <c r="G19" s="87">
        <f>'DCF Base'!G65</f>
        <v>180299.76955</v>
      </c>
      <c r="H19" s="87">
        <f>'DCF Base'!H65</f>
        <v>251743.825755</v>
      </c>
      <c r="I19" s="87">
        <f>'DCF Base'!I65</f>
        <v>326334.29825280001</v>
      </c>
    </row>
    <row r="20" spans="1:9" x14ac:dyDescent="0.3">
      <c r="A20" s="1" t="s">
        <v>513</v>
      </c>
      <c r="B20" s="77">
        <f>'DCF Base'!B63</f>
        <v>39</v>
      </c>
      <c r="C20" s="77">
        <f>'DCF Base'!C63</f>
        <v>288</v>
      </c>
      <c r="D20" s="77">
        <f>'DCF Base'!D63</f>
        <v>3796</v>
      </c>
      <c r="E20" s="77">
        <f>'DCF Base'!E63</f>
        <v>43603.33</v>
      </c>
      <c r="F20" s="77">
        <f>'DCF Base'!F63</f>
        <v>91566.993000000002</v>
      </c>
      <c r="G20" s="77">
        <f>'DCF Base'!G63</f>
        <v>146507.1888</v>
      </c>
      <c r="H20" s="77">
        <f>'DCF Base'!H63</f>
        <v>205110.06432</v>
      </c>
      <c r="I20" s="77">
        <f>'DCF Base'!I63</f>
        <v>266643.08361600002</v>
      </c>
    </row>
    <row r="21" spans="1:9" x14ac:dyDescent="0.3">
      <c r="A21" s="1" t="s">
        <v>514</v>
      </c>
      <c r="B21" s="77">
        <f>'DCF Base'!B64</f>
        <v>2</v>
      </c>
      <c r="C21" s="77">
        <f>'DCF Base'!C64</f>
        <v>98</v>
      </c>
      <c r="D21" s="77">
        <f>'DCF Base'!D64</f>
        <v>789</v>
      </c>
      <c r="E21" s="77">
        <f>'DCF Base'!E64</f>
        <v>10900.8325</v>
      </c>
      <c r="F21" s="77">
        <f>'DCF Base'!F64</f>
        <v>21801.665000000001</v>
      </c>
      <c r="G21" s="77">
        <f>'DCF Base'!G64</f>
        <v>33792.580750000001</v>
      </c>
      <c r="H21" s="77">
        <f>'DCF Base'!H64</f>
        <v>46633.761435</v>
      </c>
      <c r="I21" s="77">
        <f>'DCF Base'!I64</f>
        <v>59691.214636800003</v>
      </c>
    </row>
    <row r="22" spans="1:9" x14ac:dyDescent="0.3">
      <c r="A22" s="1" t="s">
        <v>515</v>
      </c>
      <c r="B22" s="77">
        <f>'DCF Base'!B108</f>
        <v>433</v>
      </c>
      <c r="C22" s="77">
        <f>'DCF Base'!C108</f>
        <v>2522</v>
      </c>
      <c r="D22" s="77">
        <f>'DCF Base'!D108</f>
        <v>7326</v>
      </c>
      <c r="E22" s="77">
        <f>'DCF Base'!E108</f>
        <v>29303.196909326489</v>
      </c>
      <c r="F22" s="77">
        <f>'DCF Base'!F108</f>
        <v>53112.593641540814</v>
      </c>
      <c r="G22" s="77">
        <f>'DCF Base'!G108</f>
        <v>74171.020438146632</v>
      </c>
      <c r="H22" s="77">
        <f>'DCF Base'!H108</f>
        <v>91841.976177668213</v>
      </c>
      <c r="I22" s="77">
        <f>'DCF Base'!I108</f>
        <v>107073.72160890128</v>
      </c>
    </row>
    <row r="23" spans="1:9" x14ac:dyDescent="0.3">
      <c r="A23" s="1" t="s">
        <v>516</v>
      </c>
      <c r="B23" s="77">
        <f>'DCF Base'!B99</f>
        <v>95</v>
      </c>
      <c r="C23" s="77">
        <f>'DCF Base'!C99</f>
        <v>454</v>
      </c>
      <c r="D23" s="77">
        <f>'DCF Base'!D99</f>
        <v>1839</v>
      </c>
      <c r="E23" s="77">
        <f>'DCF Base'!E99</f>
        <v>7389.5</v>
      </c>
      <c r="F23" s="77">
        <f>'DCF Base'!F99</f>
        <v>11103.750000000002</v>
      </c>
      <c r="G23" s="77">
        <f>'DCF Base'!G99</f>
        <v>15270.727500000006</v>
      </c>
      <c r="H23" s="77">
        <f>'DCF Base'!H99</f>
        <v>19983.75624000001</v>
      </c>
      <c r="I23" s="77">
        <f>'DCF Base'!I99</f>
        <v>25137.945045360011</v>
      </c>
    </row>
    <row r="24" spans="1:9" x14ac:dyDescent="0.3">
      <c r="A24" s="1" t="s">
        <v>410</v>
      </c>
      <c r="B24" s="77">
        <f>'DCF Base'!B102</f>
        <v>2</v>
      </c>
      <c r="C24" s="77">
        <f>'DCF Base'!C102</f>
        <v>43</v>
      </c>
      <c r="D24" s="77">
        <f>'DCF Base'!D102</f>
        <v>568</v>
      </c>
      <c r="E24" s="77">
        <f>'DCF Base'!E102</f>
        <v>10429.450874999999</v>
      </c>
      <c r="F24" s="77">
        <f>'DCF Base'!F102</f>
        <v>19272.671860000002</v>
      </c>
      <c r="G24" s="77">
        <f>'DCF Base'!G102</f>
        <v>27946.464280249998</v>
      </c>
      <c r="H24" s="77">
        <f>'DCF Base'!H102</f>
        <v>36502.854734474997</v>
      </c>
      <c r="I24" s="77">
        <f>'DCF Base'!I102</f>
        <v>44055.130264128005</v>
      </c>
    </row>
    <row r="25" spans="1:9" x14ac:dyDescent="0.3">
      <c r="A25" s="1" t="s">
        <v>411</v>
      </c>
      <c r="B25" s="77">
        <f>'DCF Base'!B103</f>
        <v>62</v>
      </c>
      <c r="C25" s="77">
        <f>'DCF Base'!C103</f>
        <v>347</v>
      </c>
      <c r="D25" s="77">
        <f>'DCF Base'!D103</f>
        <v>1412</v>
      </c>
      <c r="E25" s="77">
        <f>'DCF Base'!E103</f>
        <v>5535.8162499999999</v>
      </c>
      <c r="F25" s="77">
        <f>'DCF Base'!F103</f>
        <v>10203.17922</v>
      </c>
      <c r="G25" s="77">
        <f>'DCF Base'!G103</f>
        <v>14423.981564</v>
      </c>
      <c r="H25" s="77">
        <f>'DCF Base'!H103</f>
        <v>18880.786931625</v>
      </c>
      <c r="I25" s="77">
        <f>'DCF Base'!I103</f>
        <v>22843.400877696004</v>
      </c>
    </row>
    <row r="26" spans="1:9" x14ac:dyDescent="0.3">
      <c r="A26" s="10" t="s">
        <v>418</v>
      </c>
      <c r="B26" s="87">
        <f>'DCF Base'!B114</f>
        <v>-548</v>
      </c>
      <c r="C26" s="87">
        <f>'DCF Base'!C114</f>
        <v>-2959</v>
      </c>
      <c r="D26" s="87">
        <f>'DCF Base'!D114</f>
        <v>-8020</v>
      </c>
      <c r="E26" s="87">
        <f>'DCF Base'!E114</f>
        <v>1943.1984656735076</v>
      </c>
      <c r="F26" s="87">
        <f>'DCF Base'!F114</f>
        <v>19676.463278459167</v>
      </c>
      <c r="G26" s="87">
        <f>'DCF Base'!G114</f>
        <v>48487.575767603354</v>
      </c>
      <c r="H26" s="87">
        <f>'DCF Base'!H114</f>
        <v>84534.451671231771</v>
      </c>
      <c r="I26" s="87">
        <f>'DCF Base'!I114</f>
        <v>127224.10045671472</v>
      </c>
    </row>
    <row r="27" spans="1:9" x14ac:dyDescent="0.3">
      <c r="A27" s="1" t="s">
        <v>420</v>
      </c>
      <c r="B27" s="77">
        <f>'DCF Base'!B116</f>
        <v>-519</v>
      </c>
      <c r="C27" s="77">
        <f>'DCF Base'!C116</f>
        <v>-2767</v>
      </c>
      <c r="D27" s="77">
        <f>'DCF Base'!D116</f>
        <v>-5362</v>
      </c>
      <c r="E27" s="77">
        <f>'DCF Base'!E116</f>
        <v>6882.5734656735076</v>
      </c>
      <c r="F27" s="77">
        <f>'DCF Base'!F116</f>
        <v>26338.713278459167</v>
      </c>
      <c r="G27" s="77">
        <f>'DCF Base'!G116</f>
        <v>56886.475892603354</v>
      </c>
      <c r="H27" s="77">
        <f>'DCF Base'!H116</f>
        <v>94526.329791231779</v>
      </c>
      <c r="I27" s="77">
        <f>'DCF Base'!I116</f>
        <v>138787.55517758033</v>
      </c>
    </row>
    <row r="28" spans="1:9" x14ac:dyDescent="0.3">
      <c r="A28" s="10" t="s">
        <v>517</v>
      </c>
      <c r="B28" s="87">
        <f>'DCF Base'!B119</f>
        <v>-551</v>
      </c>
      <c r="C28" s="87">
        <f>'DCF Base'!C119</f>
        <v>-2980</v>
      </c>
      <c r="D28" s="87">
        <f>'DCF Base'!D119</f>
        <v>-8060</v>
      </c>
      <c r="E28" s="87">
        <f>'DCF Base'!E119</f>
        <v>915.6346740068409</v>
      </c>
      <c r="F28" s="87">
        <f>'DCF Base'!F119</f>
        <v>15839.6319205408</v>
      </c>
      <c r="G28" s="87">
        <f>'DCF Base'!G119</f>
        <v>40038.112492712928</v>
      </c>
      <c r="H28" s="87">
        <f>'DCF Base'!H119</f>
        <v>70613.914695710788</v>
      </c>
      <c r="I28" s="87">
        <f>'DCF Base'!I119</f>
        <v>107688.7368085311</v>
      </c>
    </row>
    <row r="29" spans="1:9" x14ac:dyDescent="0.3">
      <c r="A29" s="10" t="s">
        <v>518</v>
      </c>
      <c r="B29" s="10"/>
      <c r="C29" s="10"/>
      <c r="D29" s="10"/>
      <c r="E29" s="87">
        <f>'DCF Base'!E140</f>
        <v>-7691.9670209974738</v>
      </c>
      <c r="F29" s="87">
        <f>'DCF Base'!F140</f>
        <v>-4801.4882874661516</v>
      </c>
      <c r="G29" s="87">
        <f>'DCF Base'!G140</f>
        <v>3968.371421704509</v>
      </c>
      <c r="H29" s="87">
        <f>'DCF Base'!H140</f>
        <v>25222.107114171264</v>
      </c>
      <c r="I29" s="87">
        <f>'DCF Base'!I140</f>
        <v>52034.742212435209</v>
      </c>
    </row>
    <row r="30" spans="1:9" x14ac:dyDescent="0.3">
      <c r="A30" s="1" t="s">
        <v>519</v>
      </c>
      <c r="D30" s="112">
        <f>'DCF Base'!D80</f>
        <v>0.61050000000000004</v>
      </c>
      <c r="E30" s="112">
        <f>'DCF Base'!E80</f>
        <v>2.4981074479166665</v>
      </c>
      <c r="F30" s="112">
        <f>'DCF Base'!F80</f>
        <v>4.8682969634353741</v>
      </c>
      <c r="G30" s="112">
        <f>'DCF Base'!G80</f>
        <v>7.274693950502396</v>
      </c>
      <c r="H30" s="112">
        <f>'DCF Base'!H80</f>
        <v>9.5844669501120041</v>
      </c>
      <c r="I30" s="112">
        <f>'DCF Base'!I80</f>
        <v>11.793368445404937</v>
      </c>
    </row>
    <row r="31" spans="1:9" x14ac:dyDescent="0.3">
      <c r="A31" s="1" t="s">
        <v>520</v>
      </c>
      <c r="B31" s="77">
        <f>-Historicals!B130</f>
        <v>2</v>
      </c>
      <c r="C31" s="77">
        <f>-Historicals!C130</f>
        <v>15</v>
      </c>
      <c r="D31" s="77">
        <f>-Historicals!D130</f>
        <v>131</v>
      </c>
      <c r="E31" s="77">
        <f>-('DCF Base'!E137+'DCF Base'!E138)</f>
        <v>8095.4714166666663</v>
      </c>
      <c r="F31" s="77">
        <f>-('DCF Base'!F137+'DCF Base'!F138)</f>
        <v>20786.424579183677</v>
      </c>
      <c r="G31" s="77">
        <f>-('DCF Base'!G137+'DCF Base'!G138)</f>
        <v>33302.505126074873</v>
      </c>
      <c r="H31" s="77">
        <f>-('DCF Base'!H137+'DCF Base'!H138)</f>
        <v>40927.822490897022</v>
      </c>
      <c r="I31" s="77">
        <f>-('DCF Base'!I137+'DCF Base'!I138)</f>
        <v>48183.23460338336</v>
      </c>
    </row>
    <row r="32" spans="1:9" ht="3" customHeight="1" x14ac:dyDescent="0.3"/>
    <row r="33" spans="1:6" x14ac:dyDescent="0.3">
      <c r="A33" s="5" t="s">
        <v>521</v>
      </c>
      <c r="B33" s="5"/>
      <c r="C33" s="5"/>
      <c r="D33" s="5"/>
      <c r="E33" s="5"/>
      <c r="F33" s="5"/>
    </row>
    <row r="34" spans="1:6" x14ac:dyDescent="0.3">
      <c r="A34" s="6" t="s">
        <v>522</v>
      </c>
      <c r="B34" s="7" t="s">
        <v>363</v>
      </c>
      <c r="C34" s="7" t="s">
        <v>364</v>
      </c>
      <c r="D34" s="7" t="s">
        <v>365</v>
      </c>
      <c r="E34" s="7" t="s">
        <v>366</v>
      </c>
      <c r="F34" s="7" t="s">
        <v>192</v>
      </c>
    </row>
    <row r="35" spans="1:6" x14ac:dyDescent="0.3">
      <c r="A35" s="1" t="s">
        <v>523</v>
      </c>
      <c r="B35" s="77">
        <f>'DCF Base'!B58</f>
        <v>4731</v>
      </c>
      <c r="C35" s="77">
        <f>'DCF Base'!C58</f>
        <v>11555</v>
      </c>
      <c r="D35" s="77">
        <f>'DCF Base'!D58</f>
        <v>16985.849999999999</v>
      </c>
      <c r="E35" s="77">
        <f>'DCF Base'!E58</f>
        <v>21232.3125</v>
      </c>
      <c r="F35" s="77">
        <f>'DCF Base'!F58</f>
        <v>54504.162499999999</v>
      </c>
    </row>
    <row r="36" spans="1:6" x14ac:dyDescent="0.3">
      <c r="A36" s="1" t="s">
        <v>524</v>
      </c>
      <c r="B36" s="77">
        <f>'DCF Bear'!B58</f>
        <v>4731</v>
      </c>
      <c r="C36" s="77">
        <f>'DCF Bear'!C58</f>
        <v>11555</v>
      </c>
      <c r="D36" s="77">
        <f>'DCF Bear'!D58</f>
        <v>16654</v>
      </c>
      <c r="E36" s="77">
        <f>'DCF Bear'!E58</f>
        <v>18652.480000000003</v>
      </c>
      <c r="F36" s="77">
        <f>'DCF Bear'!F58</f>
        <v>51592.480000000003</v>
      </c>
    </row>
    <row r="37" spans="1:6" x14ac:dyDescent="0.3">
      <c r="A37" s="1" t="s">
        <v>525</v>
      </c>
      <c r="B37" s="77">
        <f>'DCF Bull'!B58</f>
        <v>4731</v>
      </c>
      <c r="C37" s="77">
        <f>'DCF Bull'!C58</f>
        <v>11555</v>
      </c>
      <c r="D37" s="77">
        <f>'DCF Bull'!D58</f>
        <v>17563.599999999999</v>
      </c>
      <c r="E37" s="77">
        <f>'DCF Bull'!E58</f>
        <v>23710.86</v>
      </c>
      <c r="F37" s="77">
        <f>'DCF Bull'!F58</f>
        <v>57560.46</v>
      </c>
    </row>
    <row r="38" spans="1:6" x14ac:dyDescent="0.3">
      <c r="A38" s="1" t="s">
        <v>370</v>
      </c>
      <c r="B38" s="113" t="str">
        <f>'DCF Base'!B59</f>
        <v>Actual</v>
      </c>
      <c r="C38" s="113" t="str">
        <f>'DCF Base'!C59</f>
        <v>Actual</v>
      </c>
      <c r="D38" s="113" t="str">
        <f>'DCF Base'!D59</f>
        <v>Estimate</v>
      </c>
      <c r="E38" s="113" t="str">
        <f>'DCF Base'!E59</f>
        <v>Estimate</v>
      </c>
    </row>
    <row r="39" spans="1:6" ht="3" customHeight="1" x14ac:dyDescent="0.3"/>
    <row r="40" spans="1:6" x14ac:dyDescent="0.3">
      <c r="A40" s="5" t="s">
        <v>526</v>
      </c>
      <c r="B40" s="5"/>
      <c r="C40" s="5"/>
      <c r="D40" s="5"/>
      <c r="E40" s="5"/>
      <c r="F40" s="5"/>
    </row>
    <row r="41" spans="1:6" x14ac:dyDescent="0.3">
      <c r="A41" s="10" t="s">
        <v>527</v>
      </c>
      <c r="B41" s="173" t="s">
        <v>45</v>
      </c>
    </row>
    <row r="42" spans="1:6" x14ac:dyDescent="0.3">
      <c r="A42" s="6" t="s">
        <v>528</v>
      </c>
      <c r="B42" s="7" t="s">
        <v>529</v>
      </c>
      <c r="C42" s="7" t="s">
        <v>530</v>
      </c>
      <c r="D42" s="7" t="s">
        <v>531</v>
      </c>
      <c r="E42" s="7" t="s">
        <v>370</v>
      </c>
      <c r="F42" s="7"/>
    </row>
    <row r="43" spans="1:6" x14ac:dyDescent="0.3">
      <c r="A43" s="1" t="s">
        <v>14</v>
      </c>
      <c r="B43" s="77">
        <f>IF(LEFT($B$41,7)="Q3 2026",'DCF Base'!C58*(1+'DCF Base'!E9),IF(LEFT($B$41,7)="Q4 2026",'DCF Base'!D58*(1+'DCF Base'!E10),NA()))</f>
        <v>16985.849999999999</v>
      </c>
      <c r="C43" s="77" t="str">
        <f>IFERROR(IF(INDEX(Historicals!$B$33:$M$33,MATCH($B$41,Historicals!$B$32:$M$32,0))="","",INDEX(Historicals!$B$33:$M$33,MATCH($B$41,Historicals!$B$32:$M$32,0))),"")</f>
        <v/>
      </c>
      <c r="D43" s="31" t="str">
        <f>IF(C43="","–",C43/B43-1)</f>
        <v>–</v>
      </c>
      <c r="E43" s="85" t="s">
        <v>917</v>
      </c>
    </row>
    <row r="44" spans="1:6" x14ac:dyDescent="0.3">
      <c r="A44" s="1" t="s">
        <v>515</v>
      </c>
      <c r="B44" s="77">
        <f>('DCF Base'!E108-'DCF Base'!E44)*$B$43/'DCF Base'!E51</f>
        <v>9048.0875152562166</v>
      </c>
      <c r="C44" s="77" t="str">
        <f>IFERROR(IF(INDEX(Historicals!$B$35:$M$35,MATCH($B$41,Historicals!$B$32:$M$32,0))="","",INDEX(Historicals!$B$35:$M$35,MATCH($B$41,Historicals!$B$32:$M$32,0))),"")</f>
        <v/>
      </c>
      <c r="D44" s="31" t="str">
        <f>IF(C44="","–",C44/B44-1)</f>
        <v>–</v>
      </c>
      <c r="E44" s="85" t="s">
        <v>918</v>
      </c>
    </row>
    <row r="45" spans="1:6" x14ac:dyDescent="0.3">
      <c r="A45" s="1" t="s">
        <v>532</v>
      </c>
      <c r="B45" s="77">
        <f>('DCF Base'!E99-'DCF Base'!E45)*$B$43/'DCF Base'!E51</f>
        <v>1883.3333333333335</v>
      </c>
      <c r="C45" s="77" t="str">
        <f>IFERROR(IF(INDEX(Historicals!$B$36:$M$36,MATCH($B$41,Historicals!$B$32:$M$32,0))="","",INDEX(Historicals!$B$36:$M$36,MATCH($B$41,Historicals!$B$32:$M$32,0))),"")</f>
        <v/>
      </c>
      <c r="D45" s="31" t="str">
        <f>IF(C45="","–",C45/B45-1)</f>
        <v>–</v>
      </c>
      <c r="E45" s="85" t="s">
        <v>919</v>
      </c>
    </row>
    <row r="46" spans="1:6" x14ac:dyDescent="0.3">
      <c r="A46" s="1" t="s">
        <v>410</v>
      </c>
      <c r="B46" s="77">
        <f>('DCF Base'!E102-'DCF Base'!E46)*$B$43/'DCF Base'!E51</f>
        <v>3227.3114999999993</v>
      </c>
      <c r="C46" s="77" t="str">
        <f>IFERROR(IF(INDEX(Historicals!$B$38:$M$38,MATCH($B$41,Historicals!$B$32:$M$32,0))="","",INDEX(Historicals!$B$38:$M$38,MATCH($B$41,Historicals!$B$32:$M$32,0))),"")</f>
        <v/>
      </c>
      <c r="D46" s="31" t="str">
        <f>IF(C46="","–",C46/B46-1)</f>
        <v>–</v>
      </c>
      <c r="E46" s="85" t="s">
        <v>920</v>
      </c>
    </row>
    <row r="47" spans="1:6" x14ac:dyDescent="0.3">
      <c r="A47" s="1" t="s">
        <v>411</v>
      </c>
      <c r="B47" s="77">
        <f>('DCF Base'!E103-'DCF Base'!E47)*$B$43/'DCF Base'!E51</f>
        <v>1698.5849999999998</v>
      </c>
      <c r="C47" s="77" t="str">
        <f>IFERROR(IF(INDEX(Historicals!$B$39:$M$39,MATCH($B$41,Historicals!$B$32:$M$32,0))="","",INDEX(Historicals!$B$39:$M$39,MATCH($B$41,Historicals!$B$32:$M$32,0))),"")</f>
        <v/>
      </c>
      <c r="D47" s="31" t="str">
        <f>IF(C47="","–",C47/B47-1)</f>
        <v>–</v>
      </c>
      <c r="E47" s="85" t="s">
        <v>921</v>
      </c>
    </row>
    <row r="48" spans="1:6" x14ac:dyDescent="0.3">
      <c r="A48" s="1" t="s">
        <v>22</v>
      </c>
      <c r="B48" s="30">
        <f>B43-SUM(B44:B47)</f>
        <v>1128.532651410449</v>
      </c>
      <c r="C48" s="77" t="str">
        <f>IFERROR(IF(INDEX(Historicals!$B$41:$M$41,MATCH($B$41,Historicals!$B$32:$M$32,0))="","",INDEX(Historicals!$B$41:$M$41,MATCH($B$41,Historicals!$B$32:$M$32,0))),"")</f>
        <v/>
      </c>
      <c r="D48" s="31" t="str">
        <f>IF(C48="","–",C48/B48-1)</f>
        <v>–</v>
      </c>
      <c r="E48" s="85" t="s">
        <v>922</v>
      </c>
    </row>
    <row r="49" spans="1:9" ht="3" customHeight="1" x14ac:dyDescent="0.3"/>
    <row r="50" spans="1:9" x14ac:dyDescent="0.3">
      <c r="A50" s="5" t="s">
        <v>533</v>
      </c>
      <c r="B50" s="5"/>
      <c r="C50" s="5"/>
      <c r="D50" s="5"/>
      <c r="E50" s="5"/>
      <c r="F50" s="5"/>
    </row>
    <row r="51" spans="1:9" x14ac:dyDescent="0.3">
      <c r="A51" s="6" t="s">
        <v>534</v>
      </c>
      <c r="B51" s="7" t="s">
        <v>535</v>
      </c>
      <c r="C51" s="7" t="s">
        <v>530</v>
      </c>
      <c r="D51" s="7" t="s">
        <v>531</v>
      </c>
      <c r="E51" s="7" t="s">
        <v>370</v>
      </c>
      <c r="F51" s="7"/>
    </row>
    <row r="52" spans="1:9" x14ac:dyDescent="0.3">
      <c r="A52" s="1" t="s">
        <v>14</v>
      </c>
      <c r="B52" s="77">
        <f>'DCF Base'!E65</f>
        <v>54504.162499999999</v>
      </c>
      <c r="C52" s="77" t="str">
        <f>IFERROR(IF(INDEX(Historicals!$B$7:$K$7,MATCH("FY2026A",Historicals!$B$6:$K$6,0))="","",INDEX(Historicals!$B$7:$K$7,MATCH("FY2026A",Historicals!$B$6:$K$6,0))),"")</f>
        <v/>
      </c>
      <c r="D52" s="31" t="str">
        <f>IF(C52="","–",C52/B52-1)</f>
        <v>–</v>
      </c>
      <c r="E52" s="85" t="s">
        <v>923</v>
      </c>
    </row>
    <row r="53" spans="1:9" x14ac:dyDescent="0.3">
      <c r="A53" s="1" t="s">
        <v>515</v>
      </c>
      <c r="B53" s="77">
        <f>'DCF Base'!E108</f>
        <v>29303.196909326489</v>
      </c>
      <c r="C53" s="77" t="str">
        <f>IFERROR(IF(INDEX(Historicals!$B$9:$K$9,MATCH("FY2026A",Historicals!$B$6:$K$6,0))="","",INDEX(Historicals!$B$9:$K$9,MATCH("FY2026A",Historicals!$B$6:$K$6,0))),"")</f>
        <v/>
      </c>
      <c r="D53" s="31" t="str">
        <f>IF(C53="","–",C53/B53-1)</f>
        <v>–</v>
      </c>
      <c r="E53" s="85" t="s">
        <v>924</v>
      </c>
    </row>
    <row r="54" spans="1:9" x14ac:dyDescent="0.3">
      <c r="A54" s="1" t="s">
        <v>532</v>
      </c>
      <c r="B54" s="77">
        <f>'DCF Base'!E99</f>
        <v>7389.5</v>
      </c>
      <c r="C54" s="77" t="str">
        <f>IFERROR(IF(INDEX(Historicals!$B$10:$K$10,MATCH("FY2026A",Historicals!$B$6:$K$6,0))="","",INDEX(Historicals!$B$10:$K$10,MATCH("FY2026A",Historicals!$B$6:$K$6,0))),"")</f>
        <v/>
      </c>
      <c r="D54" s="31" t="str">
        <f>IF(C54="","–",C54/B54-1)</f>
        <v>–</v>
      </c>
      <c r="E54" s="85" t="s">
        <v>925</v>
      </c>
    </row>
    <row r="55" spans="1:9" x14ac:dyDescent="0.3">
      <c r="A55" s="1" t="s">
        <v>410</v>
      </c>
      <c r="B55" s="77">
        <f>'DCF Base'!E102</f>
        <v>10429.450874999999</v>
      </c>
      <c r="C55" s="77" t="str">
        <f>IFERROR(IF(INDEX(Historicals!$B$12:$K$12,MATCH("FY2026A",Historicals!$B$6:$K$6,0))="","",INDEX(Historicals!$B$12:$K$12,MATCH("FY2026A",Historicals!$B$6:$K$6,0))),"")</f>
        <v/>
      </c>
      <c r="D55" s="31" t="str">
        <f>IF(C55="","–",C55/B55-1)</f>
        <v>–</v>
      </c>
      <c r="E55" s="85" t="s">
        <v>926</v>
      </c>
    </row>
    <row r="56" spans="1:9" x14ac:dyDescent="0.3">
      <c r="A56" s="1" t="s">
        <v>411</v>
      </c>
      <c r="B56" s="77">
        <f>'DCF Base'!E103</f>
        <v>5535.8162499999999</v>
      </c>
      <c r="C56" s="77" t="str">
        <f>IFERROR(IF(INDEX(Historicals!$B$13:$K$13,MATCH("FY2026A",Historicals!$B$6:$K$6,0))="","",INDEX(Historicals!$B$13:$K$13,MATCH("FY2026A",Historicals!$B$6:$K$6,0))),"")</f>
        <v/>
      </c>
      <c r="D56" s="31" t="str">
        <f>IF(C56="","–",C56/B56-1)</f>
        <v>–</v>
      </c>
      <c r="E56" s="85" t="s">
        <v>927</v>
      </c>
    </row>
    <row r="57" spans="1:9" x14ac:dyDescent="0.3">
      <c r="A57" s="1" t="s">
        <v>517</v>
      </c>
      <c r="B57" s="77">
        <f>'DCF Base'!E119</f>
        <v>915.6346740068409</v>
      </c>
      <c r="C57" s="77" t="str">
        <f>IFERROR(IF(INDEX(Historicals!$B$15:$K$15,MATCH("FY2026A",Historicals!$B$6:$K$6,0))="","",INDEX(Historicals!$B$15:$K$15,MATCH("FY2026A",Historicals!$B$6:$K$6,0))),"")</f>
        <v/>
      </c>
      <c r="D57" s="31" t="str">
        <f>IF(C57="","–",C57/B57-1)</f>
        <v>–</v>
      </c>
      <c r="E57" s="85" t="s">
        <v>928</v>
      </c>
    </row>
    <row r="58" spans="1:9" x14ac:dyDescent="0.3">
      <c r="A58" s="1" t="s">
        <v>536</v>
      </c>
      <c r="B58" s="77">
        <f>'DCF Base'!E100</f>
        <v>4939.375</v>
      </c>
      <c r="C58" s="77" t="str">
        <f>IFERROR(IF(INDEX(Historicals!$B$25:$K$25,MATCH("FY2026A",Historicals!$B$6:$K$6,0))="","",INDEX(Historicals!$B$25:$K$25,MATCH("FY2026A",Historicals!$B$6:$K$6,0))),"")</f>
        <v/>
      </c>
      <c r="D58" s="31" t="str">
        <f>IF(C58="","–",C58/B58-1)</f>
        <v>–</v>
      </c>
      <c r="E58" s="85" t="s">
        <v>929</v>
      </c>
    </row>
    <row r="59" spans="1:9" ht="3" customHeight="1" x14ac:dyDescent="0.3"/>
    <row r="60" spans="1:9" x14ac:dyDescent="0.3">
      <c r="A60" s="5" t="s">
        <v>537</v>
      </c>
      <c r="B60" s="5"/>
      <c r="C60" s="5"/>
      <c r="D60" s="5"/>
      <c r="E60" s="5"/>
      <c r="F60" s="5"/>
      <c r="G60" s="5"/>
      <c r="H60" s="5"/>
      <c r="I60" s="5"/>
    </row>
    <row r="61" spans="1:9" x14ac:dyDescent="0.3">
      <c r="A61" s="114" t="s">
        <v>538</v>
      </c>
    </row>
    <row r="62" spans="1:9" x14ac:dyDescent="0.3">
      <c r="A62" s="114" t="s">
        <v>539</v>
      </c>
    </row>
    <row r="63" spans="1:9" x14ac:dyDescent="0.3">
      <c r="A63" s="114" t="s">
        <v>540</v>
      </c>
    </row>
    <row r="64" spans="1:9" x14ac:dyDescent="0.3">
      <c r="A64" s="114" t="s">
        <v>541</v>
      </c>
    </row>
    <row r="65" spans="1:1" x14ac:dyDescent="0.3">
      <c r="A65" s="114" t="s">
        <v>542</v>
      </c>
    </row>
    <row r="66" spans="1:1" x14ac:dyDescent="0.3">
      <c r="A66" s="114" t="s">
        <v>543</v>
      </c>
    </row>
    <row r="67" spans="1:1" x14ac:dyDescent="0.3">
      <c r="A67" s="114" t="s">
        <v>544</v>
      </c>
    </row>
    <row r="68" spans="1:1" x14ac:dyDescent="0.3">
      <c r="A68" s="114" t="s">
        <v>545</v>
      </c>
    </row>
    <row r="70" spans="1:1" x14ac:dyDescent="0.3">
      <c r="A70"/>
    </row>
    <row r="100" spans="1:1" x14ac:dyDescent="0.3">
      <c r="A100" s="183" t="s">
        <v>932</v>
      </c>
    </row>
  </sheetData>
  <sheetProtection algorithmName="SHA-512" hashValue="OXfu6mUFj8He6FcJ6i2SZ7IVJxZFVuOuPxZWasPWOeQhHbt/uFdzIJnZL7D5CDFoLgVCAUwWgkSv808eiI8bCw==" saltValue="UB8qETXcn3jim+Lz47zVlg==" spinCount="100000" sheet="1" objects="1" scenarios="1" sort="0" autoFilter="0"/>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C74B5-19CB-4EA0-907F-C964701E187F}">
  <sheetPr>
    <tabColor rgb="FF141413"/>
  </sheetPr>
  <dimension ref="A1:Z181"/>
  <sheetViews>
    <sheetView showGridLines="0" workbookViewId="0">
      <pane xSplit="1" topLeftCell="B1" activePane="topRight" state="frozen"/>
      <selection pane="topRight" activeCell="I19" sqref="I19"/>
    </sheetView>
  </sheetViews>
  <sheetFormatPr defaultRowHeight="14.4" x14ac:dyDescent="0.3"/>
  <cols>
    <col min="1" max="1" width="61.109375" style="1" customWidth="1"/>
    <col min="2" max="13" width="14.77734375" style="1" customWidth="1"/>
    <col min="14" max="26" width="8.88671875" style="1"/>
  </cols>
  <sheetData>
    <row r="1" spans="1:13" ht="30" customHeight="1" x14ac:dyDescent="0.4">
      <c r="A1" s="2" t="s">
        <v>880</v>
      </c>
    </row>
    <row r="2" spans="1:13" x14ac:dyDescent="0.3">
      <c r="A2" s="24" t="s">
        <v>0</v>
      </c>
    </row>
    <row r="3" spans="1:13" x14ac:dyDescent="0.3">
      <c r="A3" s="4" t="s">
        <v>1</v>
      </c>
    </row>
    <row r="5" spans="1:13" x14ac:dyDescent="0.3">
      <c r="A5" s="5" t="s">
        <v>2</v>
      </c>
      <c r="B5" s="5"/>
      <c r="C5" s="5"/>
      <c r="D5" s="5"/>
      <c r="E5" s="5"/>
      <c r="F5" s="5"/>
      <c r="G5" s="5"/>
      <c r="H5" s="5"/>
      <c r="I5" s="5"/>
      <c r="J5" s="5"/>
      <c r="K5" s="5"/>
    </row>
    <row r="6" spans="1:13" x14ac:dyDescent="0.3">
      <c r="A6" s="6" t="s">
        <v>3</v>
      </c>
      <c r="B6" s="7" t="s">
        <v>4</v>
      </c>
      <c r="C6" s="7" t="s">
        <v>5</v>
      </c>
      <c r="D6" s="7" t="s">
        <v>6</v>
      </c>
      <c r="E6" s="7" t="s">
        <v>7</v>
      </c>
      <c r="F6" s="7" t="s">
        <v>8</v>
      </c>
      <c r="G6" s="7" t="s">
        <v>9</v>
      </c>
      <c r="H6" s="7" t="s">
        <v>10</v>
      </c>
      <c r="I6" s="7" t="s">
        <v>11</v>
      </c>
      <c r="J6" s="7" t="s">
        <v>12</v>
      </c>
      <c r="K6" s="7" t="s">
        <v>13</v>
      </c>
    </row>
    <row r="7" spans="1:13" x14ac:dyDescent="0.3">
      <c r="A7" s="10" t="s">
        <v>14</v>
      </c>
      <c r="B7" s="11">
        <v>41</v>
      </c>
      <c r="C7" s="11">
        <v>386</v>
      </c>
      <c r="D7" s="11">
        <v>4585</v>
      </c>
      <c r="E7" s="11">
        <v>1163</v>
      </c>
      <c r="F7" s="11">
        <v>16286</v>
      </c>
      <c r="G7" s="12"/>
      <c r="H7" s="12"/>
      <c r="I7" s="12"/>
      <c r="J7" s="12"/>
      <c r="K7" s="12"/>
      <c r="L7" s="12"/>
      <c r="M7" s="12"/>
    </row>
    <row r="8" spans="1:13" x14ac:dyDescent="0.3">
      <c r="A8" s="1" t="s">
        <v>15</v>
      </c>
    </row>
    <row r="9" spans="1:13" x14ac:dyDescent="0.3">
      <c r="A9" s="1" t="s">
        <v>16</v>
      </c>
      <c r="B9" s="8">
        <v>433</v>
      </c>
      <c r="C9" s="8">
        <v>2522</v>
      </c>
      <c r="D9" s="8">
        <v>7326</v>
      </c>
      <c r="E9" s="8">
        <v>2334</v>
      </c>
      <c r="F9" s="8">
        <v>8945</v>
      </c>
      <c r="G9" s="9"/>
      <c r="H9" s="9"/>
      <c r="I9" s="9"/>
      <c r="J9" s="9"/>
      <c r="K9" s="9"/>
      <c r="L9" s="9"/>
      <c r="M9" s="9"/>
    </row>
    <row r="10" spans="1:13" x14ac:dyDescent="0.3">
      <c r="A10" s="1" t="s">
        <v>17</v>
      </c>
      <c r="B10" s="8">
        <v>95</v>
      </c>
      <c r="C10" s="8">
        <v>454</v>
      </c>
      <c r="D10" s="8">
        <v>1839</v>
      </c>
      <c r="E10" s="8">
        <v>538</v>
      </c>
      <c r="F10" s="8">
        <v>3152</v>
      </c>
      <c r="G10" s="9"/>
      <c r="H10" s="9"/>
      <c r="I10" s="9"/>
      <c r="J10" s="9"/>
      <c r="K10" s="9"/>
      <c r="L10" s="9"/>
      <c r="M10" s="9"/>
    </row>
    <row r="11" spans="1:13" x14ac:dyDescent="0.3">
      <c r="A11" s="1" t="s">
        <v>18</v>
      </c>
      <c r="B11" s="8">
        <v>0</v>
      </c>
      <c r="C11" s="8">
        <v>0</v>
      </c>
      <c r="D11" s="8">
        <v>1500</v>
      </c>
      <c r="E11" s="8">
        <v>0</v>
      </c>
      <c r="F11" s="8">
        <v>0</v>
      </c>
      <c r="G11" s="9"/>
      <c r="H11" s="9"/>
      <c r="I11" s="9"/>
      <c r="J11" s="9"/>
      <c r="K11" s="9"/>
      <c r="L11" s="9"/>
      <c r="M11" s="9"/>
    </row>
    <row r="12" spans="1:13" x14ac:dyDescent="0.3">
      <c r="A12" s="1" t="s">
        <v>19</v>
      </c>
      <c r="B12" s="8">
        <v>2</v>
      </c>
      <c r="C12" s="8">
        <v>43</v>
      </c>
      <c r="D12" s="8">
        <v>568</v>
      </c>
      <c r="E12" s="8">
        <v>120</v>
      </c>
      <c r="F12" s="8">
        <v>3168</v>
      </c>
      <c r="G12" s="9"/>
      <c r="H12" s="9"/>
      <c r="I12" s="9"/>
      <c r="J12" s="9"/>
      <c r="K12" s="9"/>
      <c r="L12" s="9"/>
      <c r="M12" s="9"/>
    </row>
    <row r="13" spans="1:13" x14ac:dyDescent="0.3">
      <c r="A13" s="1" t="s">
        <v>20</v>
      </c>
      <c r="B13" s="8">
        <v>62</v>
      </c>
      <c r="C13" s="8">
        <v>347</v>
      </c>
      <c r="D13" s="8">
        <v>1412</v>
      </c>
      <c r="E13" s="8">
        <v>306</v>
      </c>
      <c r="F13" s="8">
        <v>1714</v>
      </c>
      <c r="G13" s="9"/>
      <c r="H13" s="9"/>
      <c r="I13" s="9"/>
      <c r="J13" s="9"/>
      <c r="K13" s="9"/>
      <c r="L13" s="9"/>
      <c r="M13" s="9"/>
    </row>
    <row r="14" spans="1:13" x14ac:dyDescent="0.3">
      <c r="A14" s="13" t="s">
        <v>21</v>
      </c>
      <c r="B14" s="14">
        <v>592</v>
      </c>
      <c r="C14" s="14">
        <v>3366</v>
      </c>
      <c r="D14" s="14">
        <v>12645</v>
      </c>
      <c r="E14" s="14">
        <v>3298</v>
      </c>
      <c r="F14" s="14">
        <v>16979</v>
      </c>
      <c r="G14" s="15"/>
      <c r="H14" s="15"/>
      <c r="I14" s="15"/>
      <c r="J14" s="15"/>
      <c r="K14" s="15"/>
      <c r="L14" s="9"/>
      <c r="M14" s="9"/>
    </row>
    <row r="15" spans="1:13" x14ac:dyDescent="0.3">
      <c r="A15" s="10" t="s">
        <v>22</v>
      </c>
      <c r="B15" s="11">
        <v>-551</v>
      </c>
      <c r="C15" s="11">
        <v>-2980</v>
      </c>
      <c r="D15" s="11">
        <v>-8060</v>
      </c>
      <c r="E15" s="11">
        <v>-2135</v>
      </c>
      <c r="F15" s="11">
        <v>-693</v>
      </c>
      <c r="G15" s="12"/>
      <c r="H15" s="12"/>
      <c r="I15" s="12"/>
      <c r="J15" s="12"/>
      <c r="K15" s="12"/>
      <c r="L15" s="12"/>
      <c r="M15" s="12"/>
    </row>
    <row r="16" spans="1:13" x14ac:dyDescent="0.3">
      <c r="A16" s="1" t="s">
        <v>23</v>
      </c>
      <c r="B16" s="8">
        <v>69</v>
      </c>
      <c r="C16" s="8">
        <v>106</v>
      </c>
      <c r="D16" s="8">
        <v>431</v>
      </c>
      <c r="E16" s="8">
        <v>115</v>
      </c>
      <c r="F16" s="8">
        <v>1111</v>
      </c>
      <c r="G16" s="9"/>
      <c r="H16" s="9"/>
      <c r="I16" s="9"/>
      <c r="J16" s="9"/>
      <c r="K16" s="9"/>
      <c r="L16" s="9"/>
      <c r="M16" s="9"/>
    </row>
    <row r="17" spans="1:13" x14ac:dyDescent="0.3">
      <c r="A17" s="1" t="s">
        <v>24</v>
      </c>
      <c r="B17" s="8">
        <v>-1045</v>
      </c>
      <c r="C17" s="8">
        <v>-5434</v>
      </c>
      <c r="D17" s="8">
        <v>-34308</v>
      </c>
      <c r="E17" s="8">
        <v>-10942</v>
      </c>
      <c r="F17" s="8">
        <v>-72388</v>
      </c>
      <c r="G17" s="9"/>
      <c r="H17" s="9"/>
      <c r="I17" s="9"/>
      <c r="J17" s="9"/>
      <c r="K17" s="9"/>
      <c r="L17" s="9"/>
      <c r="M17" s="9"/>
    </row>
    <row r="18" spans="1:13" x14ac:dyDescent="0.3">
      <c r="A18" s="1" t="s">
        <v>25</v>
      </c>
      <c r="B18" s="8">
        <v>-2</v>
      </c>
      <c r="C18" s="8">
        <v>0</v>
      </c>
      <c r="D18" s="8">
        <v>-8</v>
      </c>
      <c r="E18" s="8">
        <v>0</v>
      </c>
      <c r="F18" s="8">
        <v>-8757</v>
      </c>
      <c r="G18" s="9"/>
      <c r="H18" s="9"/>
      <c r="I18" s="9"/>
      <c r="J18" s="9"/>
      <c r="K18" s="9"/>
      <c r="L18" s="9"/>
      <c r="M18" s="9"/>
    </row>
    <row r="19" spans="1:13" x14ac:dyDescent="0.3">
      <c r="A19" s="13" t="s">
        <v>26</v>
      </c>
      <c r="B19" s="14">
        <v>-978</v>
      </c>
      <c r="C19" s="14">
        <v>-5328</v>
      </c>
      <c r="D19" s="14">
        <v>-33885</v>
      </c>
      <c r="E19" s="14">
        <v>-10827</v>
      </c>
      <c r="F19" s="14">
        <v>-80034</v>
      </c>
      <c r="G19" s="15"/>
      <c r="H19" s="15"/>
      <c r="I19" s="15"/>
      <c r="J19" s="15"/>
      <c r="K19" s="15"/>
      <c r="L19" s="9"/>
      <c r="M19" s="9"/>
    </row>
    <row r="20" spans="1:13" x14ac:dyDescent="0.3">
      <c r="A20" s="1" t="s">
        <v>27</v>
      </c>
      <c r="B20" s="8">
        <v>-1529</v>
      </c>
      <c r="C20" s="8">
        <v>-8308</v>
      </c>
      <c r="D20" s="8">
        <v>-41945</v>
      </c>
      <c r="E20" s="8">
        <v>-12962</v>
      </c>
      <c r="F20" s="8">
        <v>-80727</v>
      </c>
      <c r="G20" s="9"/>
      <c r="H20" s="9"/>
      <c r="I20" s="9"/>
      <c r="J20" s="9"/>
      <c r="K20" s="9"/>
      <c r="L20" s="9"/>
      <c r="M20" s="9"/>
    </row>
    <row r="21" spans="1:13" x14ac:dyDescent="0.3">
      <c r="A21" s="1" t="s">
        <v>28</v>
      </c>
      <c r="B21" s="8">
        <v>2</v>
      </c>
      <c r="C21" s="8">
        <v>1</v>
      </c>
      <c r="D21" s="8">
        <v>20</v>
      </c>
      <c r="E21" s="8">
        <v>7</v>
      </c>
      <c r="F21" s="8">
        <v>21</v>
      </c>
      <c r="G21" s="9"/>
      <c r="H21" s="9"/>
      <c r="I21" s="9"/>
      <c r="J21" s="9"/>
      <c r="K21" s="9"/>
      <c r="L21" s="9"/>
      <c r="M21" s="9"/>
    </row>
    <row r="22" spans="1:13" x14ac:dyDescent="0.3">
      <c r="A22" s="16" t="s">
        <v>29</v>
      </c>
      <c r="B22" s="17">
        <v>-1531</v>
      </c>
      <c r="C22" s="17">
        <v>-8309</v>
      </c>
      <c r="D22" s="17">
        <v>-41965</v>
      </c>
      <c r="E22" s="17">
        <v>-12969</v>
      </c>
      <c r="F22" s="17">
        <v>-80748</v>
      </c>
      <c r="G22" s="18"/>
      <c r="H22" s="18"/>
      <c r="I22" s="18"/>
      <c r="J22" s="18"/>
      <c r="K22" s="18"/>
      <c r="L22" s="12"/>
      <c r="M22" s="12"/>
    </row>
    <row r="23" spans="1:13" x14ac:dyDescent="0.3">
      <c r="A23" s="1" t="s">
        <v>30</v>
      </c>
      <c r="B23" s="19">
        <v>-1.42</v>
      </c>
      <c r="C23" s="19">
        <v>-5.43</v>
      </c>
      <c r="D23" s="19">
        <v>-23.04</v>
      </c>
      <c r="E23" s="19">
        <v>-7.25</v>
      </c>
      <c r="F23" s="19">
        <v>-39.880000000000003</v>
      </c>
      <c r="G23" s="20"/>
      <c r="H23" s="20"/>
      <c r="I23" s="20"/>
      <c r="J23" s="20"/>
      <c r="K23" s="20"/>
      <c r="L23" s="20"/>
      <c r="M23" s="20"/>
    </row>
    <row r="24" spans="1:13" x14ac:dyDescent="0.3">
      <c r="A24" s="1" t="s">
        <v>31</v>
      </c>
      <c r="B24" s="21">
        <v>1076881</v>
      </c>
      <c r="C24" s="21">
        <v>1528995</v>
      </c>
      <c r="D24" s="21">
        <v>1821085</v>
      </c>
      <c r="E24" s="21">
        <v>1788731</v>
      </c>
      <c r="F24" s="21">
        <v>2024973</v>
      </c>
      <c r="G24" s="22"/>
      <c r="H24" s="22"/>
      <c r="I24" s="22"/>
      <c r="J24" s="22"/>
      <c r="K24" s="22"/>
      <c r="L24" s="22"/>
      <c r="M24" s="22"/>
    </row>
    <row r="25" spans="1:13" x14ac:dyDescent="0.3">
      <c r="A25" s="1" t="s">
        <v>32</v>
      </c>
      <c r="B25" s="8">
        <v>29</v>
      </c>
      <c r="C25" s="8">
        <v>192</v>
      </c>
      <c r="D25" s="8">
        <v>1158</v>
      </c>
      <c r="E25" s="8">
        <v>279</v>
      </c>
      <c r="F25" s="8">
        <v>2185</v>
      </c>
      <c r="G25" s="9"/>
      <c r="H25" s="9"/>
      <c r="I25" s="9"/>
      <c r="J25" s="9"/>
      <c r="K25" s="9"/>
      <c r="L25" s="9"/>
      <c r="M25" s="9"/>
    </row>
    <row r="26" spans="1:13" x14ac:dyDescent="0.3">
      <c r="A26" s="1" t="s">
        <v>33</v>
      </c>
      <c r="B26" s="8">
        <v>3</v>
      </c>
      <c r="C26" s="8">
        <v>21</v>
      </c>
      <c r="D26" s="8">
        <v>40</v>
      </c>
      <c r="E26" s="8">
        <v>14</v>
      </c>
      <c r="F26" s="8">
        <v>97</v>
      </c>
      <c r="G26" s="9"/>
      <c r="H26" s="9"/>
      <c r="I26" s="9"/>
      <c r="J26" s="9"/>
      <c r="K26" s="9"/>
      <c r="L26" s="9"/>
      <c r="M26" s="9"/>
    </row>
    <row r="27" spans="1:13" x14ac:dyDescent="0.3">
      <c r="A27" s="1" t="s">
        <v>34</v>
      </c>
      <c r="B27" s="8">
        <v>-522</v>
      </c>
      <c r="C27" s="8">
        <v>-2788</v>
      </c>
      <c r="D27" s="8">
        <v>-4854</v>
      </c>
      <c r="E27" s="8">
        <v>-1849</v>
      </c>
      <c r="F27" s="8">
        <v>1618</v>
      </c>
      <c r="G27" s="9"/>
      <c r="H27" s="9"/>
      <c r="I27" s="9"/>
      <c r="J27" s="9"/>
      <c r="K27" s="9"/>
      <c r="L27" s="9"/>
      <c r="M27" s="9"/>
    </row>
    <row r="28" spans="1:13" x14ac:dyDescent="0.3">
      <c r="A28" s="1" t="s">
        <v>35</v>
      </c>
      <c r="B28" s="8">
        <v>-457</v>
      </c>
      <c r="C28" s="8">
        <v>-2683</v>
      </c>
      <c r="D28" s="8">
        <v>-4448</v>
      </c>
      <c r="E28" s="8">
        <v>-1741</v>
      </c>
      <c r="F28" s="8">
        <v>2671</v>
      </c>
      <c r="G28" s="9"/>
      <c r="H28" s="9"/>
      <c r="I28" s="9"/>
      <c r="J28" s="9"/>
      <c r="K28" s="9"/>
      <c r="L28" s="9"/>
      <c r="M28" s="9"/>
    </row>
    <row r="29" spans="1:13" x14ac:dyDescent="0.3">
      <c r="A29" s="24" t="s">
        <v>36</v>
      </c>
      <c r="B29" s="25">
        <f>IF(B7="","",(B14-SUM(B9:B13))+(B7-B14-B15))</f>
        <v>0</v>
      </c>
      <c r="C29" s="25">
        <f>IF(C7="","",(C14-SUM(C9:C13))+(C7-C14-C15))</f>
        <v>0</v>
      </c>
      <c r="D29" s="25">
        <f>IF(D7="","",(D14-SUM(D9:D13))+(D7-D14-D15))</f>
        <v>0</v>
      </c>
      <c r="E29" s="25">
        <f>IF(E7="","",(E14-SUM(E9:E13))+(E7-E14-E15))</f>
        <v>0</v>
      </c>
      <c r="F29" s="25">
        <f>IF(F7="","",(F14-SUM(F9:F13))+(F7-F14-F15))</f>
        <v>0</v>
      </c>
      <c r="G29" s="25" t="str">
        <f>IF(G7="","",(G14-SUM(G9:G13))+(G7-G14-G15))</f>
        <v/>
      </c>
      <c r="H29" s="25" t="str">
        <f>IF(H7="","",(H14-SUM(H9:H13))+(H7-H14-H15))</f>
        <v/>
      </c>
      <c r="I29" s="25" t="str">
        <f>IF(I7="","",(I14-SUM(I9:I13))+(I7-I14-I15))</f>
        <v/>
      </c>
      <c r="J29" s="25" t="str">
        <f>IF(J7="","",(J14-SUM(J9:J13))+(J7-J14-J15))</f>
        <v/>
      </c>
      <c r="K29" s="25" t="str">
        <f>IF(K7="","",(K14-SUM(K9:K13))+(K7-K14-K15))</f>
        <v/>
      </c>
      <c r="L29" s="24"/>
      <c r="M29" s="24"/>
    </row>
    <row r="30" spans="1:13" ht="3" customHeight="1" x14ac:dyDescent="0.3"/>
    <row r="31" spans="1:13" x14ac:dyDescent="0.3">
      <c r="A31" s="5" t="s">
        <v>37</v>
      </c>
      <c r="B31" s="5"/>
      <c r="C31" s="5"/>
      <c r="D31" s="5"/>
      <c r="E31" s="5"/>
      <c r="F31" s="5"/>
      <c r="G31" s="5"/>
      <c r="H31" s="5"/>
      <c r="I31" s="5"/>
      <c r="J31" s="5"/>
      <c r="K31" s="5"/>
      <c r="L31" s="5"/>
      <c r="M31" s="5"/>
    </row>
    <row r="32" spans="1:13" x14ac:dyDescent="0.3">
      <c r="A32" s="6" t="s">
        <v>38</v>
      </c>
      <c r="B32" s="7" t="s">
        <v>39</v>
      </c>
      <c r="C32" s="7" t="s">
        <v>40</v>
      </c>
      <c r="D32" s="7" t="s">
        <v>41</v>
      </c>
      <c r="E32" s="7" t="s">
        <v>42</v>
      </c>
      <c r="F32" s="7" t="s">
        <v>43</v>
      </c>
      <c r="G32" s="7" t="s">
        <v>44</v>
      </c>
      <c r="H32" s="7" t="s">
        <v>45</v>
      </c>
      <c r="I32" s="7" t="s">
        <v>46</v>
      </c>
      <c r="J32" s="7" t="s">
        <v>47</v>
      </c>
      <c r="K32" s="7" t="s">
        <v>48</v>
      </c>
      <c r="L32" s="7" t="s">
        <v>49</v>
      </c>
      <c r="M32" s="7" t="s">
        <v>50</v>
      </c>
    </row>
    <row r="33" spans="1:13" x14ac:dyDescent="0.3">
      <c r="A33" s="10" t="s">
        <v>14</v>
      </c>
      <c r="B33" s="11">
        <v>376</v>
      </c>
      <c r="C33" s="11">
        <v>787</v>
      </c>
      <c r="D33" s="11">
        <v>1382</v>
      </c>
      <c r="E33" s="11">
        <v>2040</v>
      </c>
      <c r="F33" s="11">
        <v>4731</v>
      </c>
      <c r="G33" s="11">
        <v>11555</v>
      </c>
      <c r="H33" s="12"/>
      <c r="I33" s="12"/>
      <c r="J33" s="12"/>
      <c r="K33" s="12"/>
      <c r="L33" s="12"/>
      <c r="M33" s="12"/>
    </row>
    <row r="34" spans="1:13" x14ac:dyDescent="0.3">
      <c r="A34" s="1" t="s">
        <v>15</v>
      </c>
    </row>
    <row r="35" spans="1:13" x14ac:dyDescent="0.3">
      <c r="A35" s="1" t="s">
        <v>16</v>
      </c>
      <c r="B35" s="8">
        <v>944</v>
      </c>
      <c r="C35" s="8">
        <v>1390</v>
      </c>
      <c r="D35" s="8">
        <v>2047</v>
      </c>
      <c r="E35" s="8">
        <v>2945</v>
      </c>
      <c r="F35" s="8">
        <v>3387</v>
      </c>
      <c r="G35" s="8">
        <v>5558</v>
      </c>
      <c r="H35" s="9"/>
      <c r="I35" s="9"/>
      <c r="J35" s="9"/>
      <c r="K35" s="9"/>
      <c r="L35" s="9"/>
      <c r="M35" s="9"/>
    </row>
    <row r="36" spans="1:13" x14ac:dyDescent="0.3">
      <c r="A36" s="1" t="s">
        <v>17</v>
      </c>
      <c r="B36" s="8">
        <v>218</v>
      </c>
      <c r="C36" s="8">
        <v>320</v>
      </c>
      <c r="D36" s="8">
        <v>489</v>
      </c>
      <c r="E36" s="8">
        <v>812</v>
      </c>
      <c r="F36" s="8">
        <v>1295</v>
      </c>
      <c r="G36" s="8">
        <v>1857</v>
      </c>
      <c r="H36" s="9"/>
      <c r="I36" s="9"/>
      <c r="J36" s="9"/>
      <c r="K36" s="9"/>
      <c r="L36" s="9"/>
      <c r="M36" s="9"/>
    </row>
    <row r="37" spans="1:13" x14ac:dyDescent="0.3">
      <c r="A37" s="1" t="s">
        <v>18</v>
      </c>
      <c r="B37" s="8">
        <v>0</v>
      </c>
      <c r="C37" s="8">
        <v>0</v>
      </c>
      <c r="D37" s="8">
        <v>1500</v>
      </c>
      <c r="E37" s="8">
        <v>0</v>
      </c>
      <c r="F37" s="8">
        <v>0</v>
      </c>
      <c r="G37" s="8">
        <v>0</v>
      </c>
      <c r="H37" s="9"/>
      <c r="I37" s="9"/>
      <c r="J37" s="9"/>
      <c r="K37" s="9"/>
      <c r="L37" s="9"/>
      <c r="M37" s="9"/>
    </row>
    <row r="38" spans="1:13" x14ac:dyDescent="0.3">
      <c r="A38" s="1" t="s">
        <v>19</v>
      </c>
      <c r="B38" s="8">
        <v>24</v>
      </c>
      <c r="C38" s="8">
        <v>96</v>
      </c>
      <c r="D38" s="8">
        <v>202</v>
      </c>
      <c r="E38" s="8">
        <v>246</v>
      </c>
      <c r="F38" s="8">
        <v>1033</v>
      </c>
      <c r="G38" s="8">
        <v>2135</v>
      </c>
      <c r="H38" s="9"/>
      <c r="I38" s="9"/>
      <c r="J38" s="9"/>
      <c r="K38" s="9"/>
      <c r="L38" s="9"/>
      <c r="M38" s="9"/>
    </row>
    <row r="39" spans="1:13" x14ac:dyDescent="0.3">
      <c r="A39" s="1" t="s">
        <v>20</v>
      </c>
      <c r="B39" s="8">
        <v>125</v>
      </c>
      <c r="C39" s="8">
        <v>181</v>
      </c>
      <c r="D39" s="8">
        <v>233</v>
      </c>
      <c r="E39" s="8">
        <v>873</v>
      </c>
      <c r="F39" s="8">
        <v>683</v>
      </c>
      <c r="G39" s="8">
        <v>1031</v>
      </c>
      <c r="H39" s="9"/>
      <c r="I39" s="9"/>
      <c r="J39" s="9"/>
      <c r="K39" s="9"/>
      <c r="L39" s="9"/>
      <c r="M39" s="9"/>
    </row>
    <row r="40" spans="1:13" x14ac:dyDescent="0.3">
      <c r="A40" s="13" t="s">
        <v>21</v>
      </c>
      <c r="B40" s="14">
        <v>1311</v>
      </c>
      <c r="C40" s="14">
        <v>1987</v>
      </c>
      <c r="D40" s="14">
        <v>4471</v>
      </c>
      <c r="E40" s="14">
        <v>4876</v>
      </c>
      <c r="F40" s="14">
        <v>6398</v>
      </c>
      <c r="G40" s="14">
        <v>10581</v>
      </c>
      <c r="H40" s="15"/>
      <c r="I40" s="15"/>
      <c r="J40" s="15"/>
      <c r="K40" s="15"/>
      <c r="L40" s="15"/>
      <c r="M40" s="15"/>
    </row>
    <row r="41" spans="1:13" x14ac:dyDescent="0.3">
      <c r="A41" s="10" t="s">
        <v>22</v>
      </c>
      <c r="B41" s="11">
        <v>-935</v>
      </c>
      <c r="C41" s="11">
        <v>-1200</v>
      </c>
      <c r="D41" s="11">
        <v>-3089</v>
      </c>
      <c r="E41" s="11">
        <v>-2836</v>
      </c>
      <c r="F41" s="11">
        <v>-1667</v>
      </c>
      <c r="G41" s="11">
        <v>974</v>
      </c>
      <c r="H41" s="12"/>
      <c r="I41" s="12"/>
      <c r="J41" s="12"/>
      <c r="K41" s="12"/>
      <c r="L41" s="12"/>
      <c r="M41" s="12"/>
    </row>
    <row r="42" spans="1:13" x14ac:dyDescent="0.3">
      <c r="A42" s="1" t="s">
        <v>23</v>
      </c>
      <c r="B42" s="8">
        <v>51</v>
      </c>
      <c r="C42" s="8">
        <v>64</v>
      </c>
      <c r="D42" s="8">
        <v>124</v>
      </c>
      <c r="E42" s="8">
        <v>192</v>
      </c>
      <c r="F42" s="8">
        <v>349</v>
      </c>
      <c r="G42" s="8">
        <v>762</v>
      </c>
      <c r="H42" s="9"/>
      <c r="I42" s="9"/>
      <c r="J42" s="9"/>
      <c r="K42" s="9"/>
      <c r="L42" s="9"/>
      <c r="M42" s="9"/>
    </row>
    <row r="43" spans="1:13" x14ac:dyDescent="0.3">
      <c r="A43" s="1" t="s">
        <v>24</v>
      </c>
      <c r="B43" s="8">
        <v>-5701</v>
      </c>
      <c r="C43" s="8">
        <v>-5241</v>
      </c>
      <c r="D43" s="8">
        <v>-9165</v>
      </c>
      <c r="E43" s="8">
        <v>-14201</v>
      </c>
      <c r="F43" s="8">
        <v>-12791</v>
      </c>
      <c r="G43" s="8">
        <v>-59597</v>
      </c>
      <c r="H43" s="9"/>
      <c r="I43" s="9"/>
      <c r="J43" s="9"/>
      <c r="K43" s="9"/>
      <c r="L43" s="9"/>
      <c r="M43" s="9"/>
    </row>
    <row r="44" spans="1:13" x14ac:dyDescent="0.3">
      <c r="A44" s="1" t="s">
        <v>25</v>
      </c>
      <c r="B44" s="8">
        <v>0</v>
      </c>
      <c r="C44" s="8">
        <v>0</v>
      </c>
      <c r="D44" s="8">
        <v>-3</v>
      </c>
      <c r="E44" s="8">
        <v>-5</v>
      </c>
      <c r="F44" s="8">
        <v>-309</v>
      </c>
      <c r="G44" s="8">
        <v>-8448</v>
      </c>
      <c r="H44" s="9"/>
      <c r="I44" s="9"/>
      <c r="J44" s="9"/>
      <c r="K44" s="9"/>
      <c r="L44" s="9"/>
      <c r="M44" s="9"/>
    </row>
    <row r="45" spans="1:13" x14ac:dyDescent="0.3">
      <c r="A45" s="13" t="s">
        <v>26</v>
      </c>
      <c r="B45" s="14">
        <v>-5650</v>
      </c>
      <c r="C45" s="14">
        <v>-5177</v>
      </c>
      <c r="D45" s="14">
        <v>-9044</v>
      </c>
      <c r="E45" s="14">
        <v>-14014</v>
      </c>
      <c r="F45" s="14">
        <v>-12751</v>
      </c>
      <c r="G45" s="14">
        <v>-67283</v>
      </c>
      <c r="H45" s="15"/>
      <c r="I45" s="15"/>
      <c r="J45" s="15"/>
      <c r="K45" s="15"/>
      <c r="L45" s="15"/>
      <c r="M45" s="15"/>
    </row>
    <row r="46" spans="1:13" x14ac:dyDescent="0.3">
      <c r="A46" s="1" t="s">
        <v>27</v>
      </c>
      <c r="B46" s="8">
        <v>-6585</v>
      </c>
      <c r="C46" s="8">
        <v>-6377</v>
      </c>
      <c r="D46" s="8">
        <v>-12133</v>
      </c>
      <c r="E46" s="8">
        <v>-16850</v>
      </c>
      <c r="F46" s="8">
        <v>-14418</v>
      </c>
      <c r="G46" s="8">
        <v>-66309</v>
      </c>
      <c r="H46" s="9"/>
      <c r="I46" s="9"/>
      <c r="J46" s="9"/>
      <c r="K46" s="9"/>
      <c r="L46" s="9"/>
      <c r="M46" s="9"/>
    </row>
    <row r="47" spans="1:13" x14ac:dyDescent="0.3">
      <c r="A47" s="1" t="s">
        <v>28</v>
      </c>
      <c r="B47" s="8">
        <v>7</v>
      </c>
      <c r="C47" s="8">
        <v>0</v>
      </c>
      <c r="D47" s="8">
        <v>5</v>
      </c>
      <c r="E47" s="8">
        <v>8</v>
      </c>
      <c r="F47" s="8">
        <v>21</v>
      </c>
      <c r="G47" s="8">
        <v>0</v>
      </c>
      <c r="H47" s="9"/>
      <c r="I47" s="9"/>
      <c r="J47" s="9"/>
      <c r="K47" s="9"/>
      <c r="L47" s="9"/>
      <c r="M47" s="9"/>
    </row>
    <row r="48" spans="1:13" x14ac:dyDescent="0.3">
      <c r="A48" s="16" t="s">
        <v>29</v>
      </c>
      <c r="B48" s="17">
        <v>-6592</v>
      </c>
      <c r="C48" s="17">
        <v>-6377</v>
      </c>
      <c r="D48" s="17">
        <v>-12138</v>
      </c>
      <c r="E48" s="17">
        <v>-16858</v>
      </c>
      <c r="F48" s="17">
        <v>-14439</v>
      </c>
      <c r="G48" s="17">
        <v>-66309</v>
      </c>
      <c r="H48" s="18"/>
      <c r="I48" s="18"/>
      <c r="J48" s="18"/>
      <c r="K48" s="18"/>
      <c r="L48" s="18"/>
      <c r="M48" s="18"/>
    </row>
    <row r="49" spans="1:13" x14ac:dyDescent="0.3">
      <c r="A49" s="28" t="s">
        <v>51</v>
      </c>
      <c r="B49" s="28"/>
      <c r="C49" s="28"/>
      <c r="D49" s="28"/>
      <c r="E49" s="28"/>
      <c r="F49" s="28"/>
      <c r="G49" s="28"/>
      <c r="H49" s="28"/>
      <c r="I49" s="28"/>
      <c r="J49" s="28"/>
      <c r="K49" s="28"/>
      <c r="L49" s="28"/>
      <c r="M49" s="28"/>
    </row>
    <row r="50" spans="1:13" x14ac:dyDescent="0.3">
      <c r="A50" s="1" t="s">
        <v>22</v>
      </c>
      <c r="B50" s="30">
        <f>IF(B33="","",B41)</f>
        <v>-935</v>
      </c>
      <c r="C50" s="30">
        <f>IF(C33="","",C41)</f>
        <v>-1200</v>
      </c>
      <c r="D50" s="30">
        <f>IF(D33="","",D41)</f>
        <v>-3089</v>
      </c>
      <c r="E50" s="30">
        <f>IF(E33="","",E41)</f>
        <v>-2836</v>
      </c>
      <c r="F50" s="30">
        <f>IF(F33="","",F41)</f>
        <v>-1667</v>
      </c>
      <c r="G50" s="30">
        <f>IF(G33="","",G41)</f>
        <v>974</v>
      </c>
      <c r="H50" s="30" t="str">
        <f>IF(H33="","",H41)</f>
        <v/>
      </c>
      <c r="I50" s="30" t="str">
        <f>IF(I33="","",I41)</f>
        <v/>
      </c>
      <c r="J50" s="30" t="str">
        <f>IF(J33="","",J41)</f>
        <v/>
      </c>
      <c r="K50" s="30" t="str">
        <f>IF(K33="","",K41)</f>
        <v/>
      </c>
      <c r="L50" s="30" t="str">
        <f>IF(L33="","",L41)</f>
        <v/>
      </c>
      <c r="M50" s="30" t="str">
        <f>IF(M33="","",M41)</f>
        <v/>
      </c>
    </row>
    <row r="51" spans="1:13" x14ac:dyDescent="0.3">
      <c r="A51" s="1" t="s">
        <v>52</v>
      </c>
      <c r="B51" s="8">
        <v>105</v>
      </c>
      <c r="C51" s="8">
        <v>181</v>
      </c>
      <c r="D51" s="8">
        <v>305</v>
      </c>
      <c r="E51" s="8">
        <v>574</v>
      </c>
      <c r="F51" s="8">
        <v>924</v>
      </c>
      <c r="G51" s="8">
        <v>1261</v>
      </c>
      <c r="H51" s="9"/>
      <c r="I51" s="9"/>
      <c r="J51" s="9"/>
      <c r="K51" s="9"/>
      <c r="L51" s="9"/>
      <c r="M51" s="9"/>
    </row>
    <row r="52" spans="1:13" x14ac:dyDescent="0.3">
      <c r="A52" s="1" t="s">
        <v>53</v>
      </c>
      <c r="B52" s="8">
        <v>0</v>
      </c>
      <c r="C52" s="8">
        <v>0</v>
      </c>
      <c r="D52" s="8">
        <v>0</v>
      </c>
      <c r="E52" s="8">
        <v>541</v>
      </c>
      <c r="F52" s="8">
        <v>126</v>
      </c>
      <c r="G52" s="8">
        <v>0</v>
      </c>
      <c r="H52" s="9"/>
      <c r="I52" s="9"/>
      <c r="J52" s="9"/>
      <c r="K52" s="9"/>
      <c r="L52" s="9"/>
      <c r="M52" s="9"/>
    </row>
    <row r="53" spans="1:13" x14ac:dyDescent="0.3">
      <c r="A53" s="1" t="s">
        <v>18</v>
      </c>
      <c r="B53" s="8">
        <v>0</v>
      </c>
      <c r="C53" s="8">
        <v>0</v>
      </c>
      <c r="D53" s="8">
        <v>1500</v>
      </c>
      <c r="E53" s="8">
        <v>0</v>
      </c>
      <c r="F53" s="8">
        <v>0</v>
      </c>
      <c r="G53" s="8">
        <v>0</v>
      </c>
      <c r="H53" s="9"/>
      <c r="I53" s="9"/>
      <c r="J53" s="9"/>
      <c r="K53" s="9"/>
      <c r="L53" s="9"/>
      <c r="M53" s="9"/>
    </row>
    <row r="54" spans="1:13" x14ac:dyDescent="0.3">
      <c r="A54" s="16" t="s">
        <v>54</v>
      </c>
      <c r="B54" s="17">
        <v>-830</v>
      </c>
      <c r="C54" s="17">
        <v>-1019</v>
      </c>
      <c r="D54" s="17">
        <v>-1284</v>
      </c>
      <c r="E54" s="17">
        <v>-1721</v>
      </c>
      <c r="F54" s="17">
        <v>-617</v>
      </c>
      <c r="G54" s="17">
        <v>2235</v>
      </c>
      <c r="H54" s="18"/>
      <c r="I54" s="18"/>
      <c r="J54" s="18"/>
      <c r="K54" s="18"/>
      <c r="L54" s="18"/>
      <c r="M54" s="18"/>
    </row>
    <row r="55" spans="1:13" x14ac:dyDescent="0.3">
      <c r="A55" s="1" t="s">
        <v>55</v>
      </c>
      <c r="B55" s="31">
        <f>IF(B33="","",B54/B33)</f>
        <v>-2.2074468085106385</v>
      </c>
      <c r="C55" s="31">
        <f>IF(C33="","",C54/C33)</f>
        <v>-1.2947903430749683</v>
      </c>
      <c r="D55" s="31">
        <f>IF(D33="","",D54/D33)</f>
        <v>-0.9290882778581766</v>
      </c>
      <c r="E55" s="31">
        <f>IF(E33="","",E54/E33)</f>
        <v>-0.84362745098039216</v>
      </c>
      <c r="F55" s="31">
        <f>IF(F33="","",F54/F33)</f>
        <v>-0.13041640245191291</v>
      </c>
      <c r="G55" s="31">
        <f>IF(G33="","",G54/G33)</f>
        <v>0.1934227607096495</v>
      </c>
      <c r="H55" s="31" t="str">
        <f>IF(H33="","",H54/H33)</f>
        <v/>
      </c>
      <c r="I55" s="31" t="str">
        <f>IF(I33="","",I54/I33)</f>
        <v/>
      </c>
      <c r="J55" s="31" t="str">
        <f>IF(J33="","",J54/J33)</f>
        <v/>
      </c>
      <c r="K55" s="31" t="str">
        <f>IF(K33="","",K54/K33)</f>
        <v/>
      </c>
      <c r="L55" s="31" t="str">
        <f>IF(L33="","",L54/L33)</f>
        <v/>
      </c>
      <c r="M55" s="31" t="str">
        <f>IF(M33="","",M54/M33)</f>
        <v/>
      </c>
    </row>
    <row r="56" spans="1:13" x14ac:dyDescent="0.3">
      <c r="A56" s="28" t="s">
        <v>56</v>
      </c>
      <c r="B56" s="28"/>
      <c r="C56" s="28"/>
      <c r="D56" s="28"/>
      <c r="E56" s="28"/>
      <c r="F56" s="28"/>
      <c r="G56" s="28"/>
      <c r="H56" s="28"/>
      <c r="I56" s="28"/>
      <c r="J56" s="28"/>
      <c r="K56" s="28"/>
      <c r="L56" s="28"/>
      <c r="M56" s="28"/>
    </row>
    <row r="57" spans="1:13" x14ac:dyDescent="0.3">
      <c r="A57" s="1" t="s">
        <v>29</v>
      </c>
      <c r="B57" s="30">
        <f>IF(B33="","",B48)</f>
        <v>-6592</v>
      </c>
      <c r="C57" s="30">
        <f>IF(C33="","",C48)</f>
        <v>-6377</v>
      </c>
      <c r="D57" s="30">
        <f>IF(D33="","",D48)</f>
        <v>-12138</v>
      </c>
      <c r="E57" s="30">
        <f>IF(E33="","",E48)</f>
        <v>-16858</v>
      </c>
      <c r="F57" s="30">
        <f>IF(F33="","",F48)</f>
        <v>-14439</v>
      </c>
      <c r="G57" s="30">
        <f>IF(G33="","",G48)</f>
        <v>-66309</v>
      </c>
      <c r="H57" s="30" t="str">
        <f>IF(H33="","",H48)</f>
        <v/>
      </c>
      <c r="I57" s="30" t="str">
        <f>IF(I33="","",I48)</f>
        <v/>
      </c>
      <c r="J57" s="30" t="str">
        <f>IF(J33="","",J48)</f>
        <v/>
      </c>
      <c r="K57" s="30" t="str">
        <f>IF(K33="","",K48)</f>
        <v/>
      </c>
      <c r="L57" s="30" t="str">
        <f>IF(L33="","",L48)</f>
        <v/>
      </c>
      <c r="M57" s="30" t="str">
        <f>IF(M33="","",M48)</f>
        <v/>
      </c>
    </row>
    <row r="58" spans="1:13" x14ac:dyDescent="0.3">
      <c r="A58" s="1" t="s">
        <v>52</v>
      </c>
      <c r="B58" s="30">
        <f>IF(B33="","",B51)</f>
        <v>105</v>
      </c>
      <c r="C58" s="30">
        <f>IF(C33="","",C51)</f>
        <v>181</v>
      </c>
      <c r="D58" s="30">
        <f>IF(D33="","",D51)</f>
        <v>305</v>
      </c>
      <c r="E58" s="30">
        <f>IF(E33="","",E51)</f>
        <v>574</v>
      </c>
      <c r="F58" s="30">
        <f>IF(F33="","",F51)</f>
        <v>924</v>
      </c>
      <c r="G58" s="30">
        <f>IF(G33="","",G51)</f>
        <v>1261</v>
      </c>
      <c r="H58" s="30" t="str">
        <f>IF(H33="","",H51)</f>
        <v/>
      </c>
      <c r="I58" s="30" t="str">
        <f>IF(I33="","",I51)</f>
        <v/>
      </c>
      <c r="J58" s="30" t="str">
        <f>IF(J33="","",J51)</f>
        <v/>
      </c>
      <c r="K58" s="30" t="str">
        <f>IF(K33="","",K51)</f>
        <v/>
      </c>
      <c r="L58" s="30" t="str">
        <f>IF(L33="","",L51)</f>
        <v/>
      </c>
      <c r="M58" s="30" t="str">
        <f>IF(M33="","",M51)</f>
        <v/>
      </c>
    </row>
    <row r="59" spans="1:13" x14ac:dyDescent="0.3">
      <c r="A59" s="1" t="s">
        <v>53</v>
      </c>
      <c r="B59" s="30">
        <f>IF(B33="","",B52)</f>
        <v>0</v>
      </c>
      <c r="C59" s="30">
        <f>IF(C33="","",C52)</f>
        <v>0</v>
      </c>
      <c r="D59" s="30">
        <f>IF(D33="","",D52)</f>
        <v>0</v>
      </c>
      <c r="E59" s="30">
        <f>IF(E33="","",E52)</f>
        <v>541</v>
      </c>
      <c r="F59" s="30">
        <f>IF(F33="","",F52)</f>
        <v>126</v>
      </c>
      <c r="G59" s="30">
        <f>IF(G33="","",G52)</f>
        <v>0</v>
      </c>
      <c r="H59" s="30" t="str">
        <f>IF(H33="","",H52)</f>
        <v/>
      </c>
      <c r="I59" s="30" t="str">
        <f>IF(I33="","",I52)</f>
        <v/>
      </c>
      <c r="J59" s="30" t="str">
        <f>IF(J33="","",J52)</f>
        <v/>
      </c>
      <c r="K59" s="30" t="str">
        <f>IF(K33="","",K52)</f>
        <v/>
      </c>
      <c r="L59" s="30" t="str">
        <f>IF(L33="","",L52)</f>
        <v/>
      </c>
      <c r="M59" s="30" t="str">
        <f>IF(M33="","",M52)</f>
        <v/>
      </c>
    </row>
    <row r="60" spans="1:13" x14ac:dyDescent="0.3">
      <c r="A60" s="1" t="s">
        <v>18</v>
      </c>
      <c r="B60" s="30">
        <f>IF(B33="","",B53)</f>
        <v>0</v>
      </c>
      <c r="C60" s="30">
        <f>IF(C33="","",C53)</f>
        <v>0</v>
      </c>
      <c r="D60" s="30">
        <f>IF(D33="","",D53)</f>
        <v>1500</v>
      </c>
      <c r="E60" s="30">
        <f>IF(E33="","",E53)</f>
        <v>0</v>
      </c>
      <c r="F60" s="30">
        <f>IF(F33="","",F53)</f>
        <v>0</v>
      </c>
      <c r="G60" s="30">
        <f>IF(G33="","",G53)</f>
        <v>0</v>
      </c>
      <c r="H60" s="30" t="str">
        <f>IF(H33="","",H53)</f>
        <v/>
      </c>
      <c r="I60" s="30" t="str">
        <f>IF(I33="","",I53)</f>
        <v/>
      </c>
      <c r="J60" s="30" t="str">
        <f>IF(J33="","",J53)</f>
        <v/>
      </c>
      <c r="K60" s="30" t="str">
        <f>IF(K33="","",K53)</f>
        <v/>
      </c>
      <c r="L60" s="30" t="str">
        <f>IF(L33="","",L53)</f>
        <v/>
      </c>
      <c r="M60" s="30" t="str">
        <f>IF(M33="","",M53)</f>
        <v/>
      </c>
    </row>
    <row r="61" spans="1:13" x14ac:dyDescent="0.3">
      <c r="A61" s="1" t="s">
        <v>24</v>
      </c>
      <c r="B61" s="8">
        <v>5701</v>
      </c>
      <c r="C61" s="8">
        <v>5241</v>
      </c>
      <c r="D61" s="8">
        <v>9165</v>
      </c>
      <c r="E61" s="8">
        <v>14201</v>
      </c>
      <c r="F61" s="8">
        <v>12791</v>
      </c>
      <c r="G61" s="8">
        <v>59597</v>
      </c>
      <c r="H61" s="9"/>
      <c r="I61" s="9"/>
      <c r="J61" s="9"/>
      <c r="K61" s="9"/>
      <c r="L61" s="9"/>
      <c r="M61" s="9"/>
    </row>
    <row r="62" spans="1:13" x14ac:dyDescent="0.3">
      <c r="A62" s="1" t="s">
        <v>57</v>
      </c>
      <c r="B62" s="8">
        <v>0</v>
      </c>
      <c r="C62" s="8">
        <v>0</v>
      </c>
      <c r="D62" s="8">
        <v>0</v>
      </c>
      <c r="E62" s="8">
        <v>3</v>
      </c>
      <c r="F62" s="8">
        <v>288</v>
      </c>
      <c r="G62" s="8">
        <v>8432</v>
      </c>
      <c r="H62" s="9"/>
      <c r="I62" s="9"/>
      <c r="J62" s="9"/>
      <c r="K62" s="9"/>
      <c r="L62" s="9"/>
      <c r="M62" s="9"/>
    </row>
    <row r="63" spans="1:13" x14ac:dyDescent="0.3">
      <c r="A63" s="16" t="s">
        <v>58</v>
      </c>
      <c r="B63" s="17">
        <v>-786</v>
      </c>
      <c r="C63" s="17">
        <v>-955</v>
      </c>
      <c r="D63" s="17">
        <v>-1168</v>
      </c>
      <c r="E63" s="17">
        <v>-1539</v>
      </c>
      <c r="F63" s="17">
        <v>-310</v>
      </c>
      <c r="G63" s="17">
        <v>2981</v>
      </c>
      <c r="H63" s="18"/>
      <c r="I63" s="18"/>
      <c r="J63" s="18"/>
      <c r="K63" s="18"/>
      <c r="L63" s="18"/>
      <c r="M63" s="18"/>
    </row>
    <row r="64" spans="1:13" x14ac:dyDescent="0.3">
      <c r="A64" s="24" t="s">
        <v>59</v>
      </c>
      <c r="B64" s="25">
        <f>IF(B33="","",(B40-SUM(B35:B39))+(B33-B40-B41)+(B54-SUM(B50:B53)))</f>
        <v>0</v>
      </c>
      <c r="C64" s="25">
        <f>IF(C33="","",(C40-SUM(C35:C39))+(C33-C40-C41)+(C54-SUM(C50:C53)))</f>
        <v>0</v>
      </c>
      <c r="D64" s="25">
        <f>IF(D33="","",(D40-SUM(D35:D39))+(D33-D40-D41)+(D54-SUM(D50:D53)))</f>
        <v>0</v>
      </c>
      <c r="E64" s="25">
        <f>IF(E33="","",(E40-SUM(E35:E39))+(E33-E40-E41)+(E54-SUM(E50:E53)))</f>
        <v>0</v>
      </c>
      <c r="F64" s="25">
        <f>IF(F33="","",(F40-SUM(F35:F39))+(F33-F40-F41)+(F54-SUM(F50:F53)))</f>
        <v>0</v>
      </c>
      <c r="G64" s="25">
        <f>IF(G33="","",(G40-SUM(G35:G39))+(G33-G40-G41)+(G54-SUM(G50:G53)))</f>
        <v>0</v>
      </c>
      <c r="H64" s="25" t="str">
        <f>IF(H33="","",(H40-SUM(H35:H39))+(H33-H40-H41)+(H54-SUM(H50:H53)))</f>
        <v/>
      </c>
      <c r="I64" s="25" t="str">
        <f>IF(I33="","",(I40-SUM(I35:I39))+(I33-I40-I41)+(I54-SUM(I50:I53)))</f>
        <v/>
      </c>
      <c r="J64" s="25" t="str">
        <f>IF(J33="","",(J40-SUM(J35:J39))+(J33-J40-J41)+(J54-SUM(J50:J53)))</f>
        <v/>
      </c>
      <c r="K64" s="25" t="str">
        <f>IF(K33="","",(K40-SUM(K35:K39))+(K33-K40-K41)+(K54-SUM(K50:K53)))</f>
        <v/>
      </c>
      <c r="L64" s="25" t="str">
        <f>IF(L33="","",(L40-SUM(L35:L39))+(L33-L40-L41)+(L54-SUM(L50:L53)))</f>
        <v/>
      </c>
      <c r="M64" s="25" t="str">
        <f>IF(M33="","",(M40-SUM(M35:M39))+(M33-M40-M41)+(M54-SUM(M50:M53)))</f>
        <v/>
      </c>
    </row>
    <row r="65" spans="1:13" x14ac:dyDescent="0.3">
      <c r="A65" s="24" t="s">
        <v>60</v>
      </c>
      <c r="B65" s="25">
        <f>IF(B33="","",B63-SUM(B57:B62))</f>
        <v>0</v>
      </c>
      <c r="C65" s="25">
        <f>IF(C33="","",C63-SUM(C57:C62))</f>
        <v>0</v>
      </c>
      <c r="D65" s="25">
        <f>IF(D33="","",D63-SUM(D57:D62))</f>
        <v>0</v>
      </c>
      <c r="E65" s="25">
        <f>IF(E33="","",E63-SUM(E57:E62))</f>
        <v>0</v>
      </c>
      <c r="F65" s="25">
        <f>IF(F33="","",F63-SUM(F57:F62))</f>
        <v>0</v>
      </c>
      <c r="G65" s="25">
        <f>IF(G33="","",G63-SUM(G57:G62))</f>
        <v>0</v>
      </c>
      <c r="H65" s="25" t="str">
        <f>IF(H33="","",H63-SUM(H57:H62))</f>
        <v/>
      </c>
      <c r="I65" s="25" t="str">
        <f>IF(I33="","",I63-SUM(I57:I62))</f>
        <v/>
      </c>
      <c r="J65" s="25" t="str">
        <f>IF(J33="","",J63-SUM(J57:J62))</f>
        <v/>
      </c>
      <c r="K65" s="25" t="str">
        <f>IF(K33="","",K63-SUM(K57:K62))</f>
        <v/>
      </c>
      <c r="L65" s="25" t="str">
        <f>IF(L33="","",L63-SUM(L57:L62))</f>
        <v/>
      </c>
      <c r="M65" s="25" t="str">
        <f>IF(M33="","",M63-SUM(M57:M62))</f>
        <v/>
      </c>
    </row>
    <row r="66" spans="1:13" ht="3" customHeight="1" x14ac:dyDescent="0.3"/>
    <row r="67" spans="1:13" x14ac:dyDescent="0.3">
      <c r="A67" s="5" t="s">
        <v>61</v>
      </c>
      <c r="B67" s="5"/>
      <c r="C67" s="5"/>
      <c r="D67" s="5"/>
      <c r="E67" s="5"/>
      <c r="F67" s="5"/>
      <c r="G67" s="5"/>
      <c r="H67" s="5"/>
      <c r="I67" s="5"/>
      <c r="J67" s="5"/>
      <c r="K67" s="5"/>
    </row>
    <row r="68" spans="1:13" x14ac:dyDescent="0.3">
      <c r="A68" s="6" t="s">
        <v>62</v>
      </c>
      <c r="B68" s="7" t="s">
        <v>4</v>
      </c>
      <c r="C68" s="7" t="s">
        <v>5</v>
      </c>
      <c r="D68" s="7" t="s">
        <v>6</v>
      </c>
      <c r="E68" s="7" t="s">
        <v>7</v>
      </c>
      <c r="F68" s="7" t="s">
        <v>8</v>
      </c>
      <c r="G68" s="7" t="s">
        <v>9</v>
      </c>
      <c r="H68" s="7" t="s">
        <v>10</v>
      </c>
      <c r="I68" s="7" t="s">
        <v>11</v>
      </c>
      <c r="J68" s="7" t="s">
        <v>12</v>
      </c>
      <c r="K68" s="7" t="s">
        <v>13</v>
      </c>
    </row>
    <row r="69" spans="1:13" x14ac:dyDescent="0.3">
      <c r="A69" s="1" t="s">
        <v>63</v>
      </c>
      <c r="B69" s="8">
        <v>34</v>
      </c>
      <c r="C69" s="8">
        <v>263</v>
      </c>
      <c r="D69" s="8">
        <v>3362</v>
      </c>
      <c r="E69" s="8">
        <v>820</v>
      </c>
      <c r="F69" s="8">
        <v>11763</v>
      </c>
      <c r="G69" s="9"/>
      <c r="H69" s="9"/>
      <c r="I69" s="9"/>
      <c r="J69" s="9"/>
      <c r="K69" s="9"/>
      <c r="L69" s="9"/>
      <c r="M69" s="9"/>
    </row>
    <row r="70" spans="1:13" x14ac:dyDescent="0.3">
      <c r="A70" s="1" t="s">
        <v>64</v>
      </c>
      <c r="B70" s="8">
        <v>7</v>
      </c>
      <c r="C70" s="8">
        <v>123</v>
      </c>
      <c r="D70" s="8">
        <v>1223</v>
      </c>
      <c r="E70" s="8">
        <v>343</v>
      </c>
      <c r="F70" s="8">
        <v>4523</v>
      </c>
      <c r="G70" s="9"/>
      <c r="H70" s="9"/>
      <c r="I70" s="9"/>
      <c r="J70" s="9"/>
      <c r="K70" s="9"/>
      <c r="L70" s="9"/>
      <c r="M70" s="9"/>
    </row>
    <row r="71" spans="1:13" x14ac:dyDescent="0.3">
      <c r="A71" s="1" t="s">
        <v>65</v>
      </c>
      <c r="B71" s="30">
        <f>IF(B69="","",B69+B70)</f>
        <v>41</v>
      </c>
      <c r="C71" s="30">
        <f>IF(C69="","",C69+C70)</f>
        <v>386</v>
      </c>
      <c r="D71" s="30">
        <f>IF(D69="","",D69+D70)</f>
        <v>4585</v>
      </c>
      <c r="E71" s="30">
        <f>IF(E69="","",E69+E70)</f>
        <v>1163</v>
      </c>
      <c r="F71" s="30">
        <f>IF(F69="","",F69+F70)</f>
        <v>16286</v>
      </c>
      <c r="G71" s="30" t="str">
        <f>IF(G69="","",G69+G70)</f>
        <v/>
      </c>
      <c r="H71" s="30" t="str">
        <f>IF(H69="","",H69+H70)</f>
        <v/>
      </c>
      <c r="I71" s="30" t="str">
        <f>IF(I69="","",I69+I70)</f>
        <v/>
      </c>
      <c r="J71" s="30" t="str">
        <f>IF(J69="","",J69+J70)</f>
        <v/>
      </c>
      <c r="K71" s="30" t="str">
        <f>IF(K69="","",K69+K70)</f>
        <v/>
      </c>
    </row>
    <row r="72" spans="1:13" x14ac:dyDescent="0.3">
      <c r="A72" s="1" t="s">
        <v>66</v>
      </c>
      <c r="B72" s="8">
        <v>39</v>
      </c>
      <c r="C72" s="8">
        <v>288</v>
      </c>
      <c r="D72" s="8">
        <v>3796</v>
      </c>
      <c r="E72" s="8">
        <v>983</v>
      </c>
      <c r="F72" s="8">
        <v>13064</v>
      </c>
      <c r="G72" s="9"/>
      <c r="H72" s="9"/>
      <c r="I72" s="9"/>
      <c r="J72" s="9"/>
      <c r="K72" s="9"/>
      <c r="L72" s="9"/>
      <c r="M72" s="9"/>
    </row>
    <row r="73" spans="1:13" x14ac:dyDescent="0.3">
      <c r="A73" s="1" t="s">
        <v>67</v>
      </c>
      <c r="B73" s="8">
        <v>2</v>
      </c>
      <c r="C73" s="8">
        <v>98</v>
      </c>
      <c r="D73" s="8">
        <v>789</v>
      </c>
      <c r="E73" s="8">
        <v>180</v>
      </c>
      <c r="F73" s="8">
        <v>3222</v>
      </c>
      <c r="G73" s="9"/>
      <c r="H73" s="9"/>
      <c r="I73" s="9"/>
      <c r="J73" s="9"/>
      <c r="K73" s="9"/>
      <c r="L73" s="9"/>
      <c r="M73" s="9"/>
    </row>
    <row r="74" spans="1:13" x14ac:dyDescent="0.3">
      <c r="A74" s="1" t="s">
        <v>68</v>
      </c>
      <c r="B74" s="30">
        <f>IF(B72="","",B72+B73)</f>
        <v>41</v>
      </c>
      <c r="C74" s="30">
        <f>IF(C72="","",C72+C73)</f>
        <v>386</v>
      </c>
      <c r="D74" s="30">
        <f>IF(D72="","",D72+D73)</f>
        <v>4585</v>
      </c>
      <c r="E74" s="30">
        <f>IF(E72="","",E72+E73)</f>
        <v>1163</v>
      </c>
      <c r="F74" s="30">
        <f>IF(F72="","",F72+F73)</f>
        <v>16286</v>
      </c>
      <c r="G74" s="30" t="str">
        <f>IF(G72="","",G72+G73)</f>
        <v/>
      </c>
      <c r="H74" s="30" t="str">
        <f>IF(H72="","",H72+H73)</f>
        <v/>
      </c>
      <c r="I74" s="30" t="str">
        <f>IF(I72="","",I72+I73)</f>
        <v/>
      </c>
      <c r="J74" s="30" t="str">
        <f>IF(J72="","",J72+J73)</f>
        <v/>
      </c>
      <c r="K74" s="30" t="str">
        <f>IF(K72="","",K72+K73)</f>
        <v/>
      </c>
    </row>
    <row r="75" spans="1:13" x14ac:dyDescent="0.3">
      <c r="A75" s="1" t="s">
        <v>69</v>
      </c>
      <c r="B75" s="8"/>
      <c r="C75" s="8"/>
      <c r="D75" s="8"/>
      <c r="E75" s="8"/>
      <c r="F75" s="8">
        <v>10800</v>
      </c>
      <c r="G75" s="9"/>
      <c r="H75" s="9"/>
      <c r="I75" s="9"/>
      <c r="J75" s="9"/>
      <c r="K75" s="9"/>
      <c r="L75" s="9"/>
      <c r="M75" s="9"/>
    </row>
    <row r="76" spans="1:13" x14ac:dyDescent="0.3">
      <c r="A76" s="1" t="s">
        <v>70</v>
      </c>
      <c r="B76" s="32"/>
      <c r="C76" s="32"/>
      <c r="D76" s="32"/>
      <c r="E76" s="32"/>
      <c r="F76" s="32">
        <v>0.75</v>
      </c>
      <c r="G76" s="33"/>
      <c r="H76" s="33"/>
      <c r="I76" s="33"/>
      <c r="J76" s="33"/>
      <c r="K76" s="33"/>
      <c r="L76" s="33"/>
      <c r="M76" s="33"/>
    </row>
    <row r="77" spans="1:13" x14ac:dyDescent="0.3">
      <c r="A77" s="24" t="s">
        <v>71</v>
      </c>
      <c r="B77" s="25">
        <f>IF(B69="","",(B71-B7)+(B74-B7))</f>
        <v>0</v>
      </c>
      <c r="C77" s="25">
        <f>IF(C69="","",(C71-C7)+(C74-C7))</f>
        <v>0</v>
      </c>
      <c r="D77" s="25">
        <f>IF(D69="","",(D71-D7)+(D74-D7))</f>
        <v>0</v>
      </c>
      <c r="E77" s="25">
        <f>IF(E69="","",(E71-E7)+(E74-E7))</f>
        <v>0</v>
      </c>
      <c r="F77" s="25">
        <f>IF(F69="","",(F71-F7)+(F74-F7))</f>
        <v>0</v>
      </c>
      <c r="G77" s="25" t="str">
        <f>IF(G69="","",(G71-G7)+(G74-G7))</f>
        <v/>
      </c>
      <c r="H77" s="25" t="str">
        <f>IF(H69="","",(H71-H7)+(H74-H7))</f>
        <v/>
      </c>
      <c r="I77" s="25" t="str">
        <f>IF(I69="","",(I71-I7)+(I74-I7))</f>
        <v/>
      </c>
      <c r="J77" s="25" t="str">
        <f>IF(J69="","",(J71-J7)+(J74-J7))</f>
        <v/>
      </c>
      <c r="K77" s="25" t="str">
        <f>IF(K69="","",(K71-K7)+(K74-K7))</f>
        <v/>
      </c>
      <c r="L77" s="24"/>
      <c r="M77" s="24"/>
    </row>
    <row r="78" spans="1:13" ht="3" customHeight="1" x14ac:dyDescent="0.3"/>
    <row r="79" spans="1:13" x14ac:dyDescent="0.3">
      <c r="A79" s="5" t="s">
        <v>72</v>
      </c>
      <c r="B79" s="5"/>
      <c r="C79" s="5"/>
      <c r="D79" s="5"/>
      <c r="E79" s="5"/>
      <c r="F79" s="5"/>
      <c r="G79" s="5"/>
      <c r="H79" s="5"/>
      <c r="I79" s="5"/>
      <c r="J79" s="5"/>
    </row>
    <row r="80" spans="1:13" x14ac:dyDescent="0.3">
      <c r="A80" s="6" t="s">
        <v>73</v>
      </c>
      <c r="B80" s="7" t="s">
        <v>74</v>
      </c>
      <c r="C80" s="7" t="s">
        <v>75</v>
      </c>
      <c r="D80" s="7" t="s">
        <v>76</v>
      </c>
      <c r="E80" s="7" t="s">
        <v>77</v>
      </c>
      <c r="F80" s="7" t="s">
        <v>78</v>
      </c>
      <c r="G80" s="7" t="s">
        <v>79</v>
      </c>
      <c r="H80" s="7" t="s">
        <v>80</v>
      </c>
      <c r="I80" s="7" t="s">
        <v>81</v>
      </c>
      <c r="J80" s="7" t="s">
        <v>82</v>
      </c>
    </row>
    <row r="81" spans="1:13" x14ac:dyDescent="0.3">
      <c r="A81" s="1" t="s">
        <v>83</v>
      </c>
    </row>
    <row r="82" spans="1:13" x14ac:dyDescent="0.3">
      <c r="A82" s="1" t="s">
        <v>84</v>
      </c>
      <c r="B82" s="8">
        <v>3141</v>
      </c>
      <c r="C82" s="8">
        <v>17388</v>
      </c>
      <c r="D82" s="8">
        <v>112389</v>
      </c>
      <c r="E82" s="9"/>
      <c r="F82" s="9"/>
      <c r="G82" s="9"/>
      <c r="H82" s="9"/>
      <c r="I82" s="9"/>
      <c r="J82" s="9"/>
      <c r="K82" s="9"/>
      <c r="L82" s="9"/>
      <c r="M82" s="9"/>
    </row>
    <row r="83" spans="1:13" x14ac:dyDescent="0.3">
      <c r="A83" s="1" t="s">
        <v>85</v>
      </c>
      <c r="B83" s="8">
        <v>0</v>
      </c>
      <c r="C83" s="8">
        <v>2889</v>
      </c>
      <c r="D83" s="8">
        <v>19262</v>
      </c>
      <c r="E83" s="9"/>
      <c r="F83" s="9"/>
      <c r="G83" s="9"/>
      <c r="H83" s="9"/>
      <c r="I83" s="9"/>
      <c r="J83" s="9"/>
      <c r="K83" s="9"/>
      <c r="L83" s="9"/>
      <c r="M83" s="9"/>
    </row>
    <row r="84" spans="1:13" x14ac:dyDescent="0.3">
      <c r="A84" s="1" t="s">
        <v>86</v>
      </c>
      <c r="B84" s="8">
        <v>95</v>
      </c>
      <c r="C84" s="8">
        <v>909</v>
      </c>
      <c r="D84" s="8">
        <v>5833</v>
      </c>
      <c r="E84" s="9"/>
      <c r="F84" s="9"/>
      <c r="G84" s="9"/>
      <c r="H84" s="9"/>
      <c r="I84" s="9"/>
      <c r="J84" s="9"/>
      <c r="K84" s="9"/>
      <c r="L84" s="9"/>
      <c r="M84" s="9"/>
    </row>
    <row r="85" spans="1:13" x14ac:dyDescent="0.3">
      <c r="A85" s="1" t="s">
        <v>87</v>
      </c>
      <c r="B85" s="8">
        <v>2076</v>
      </c>
      <c r="C85" s="8">
        <v>2560</v>
      </c>
      <c r="D85" s="8">
        <v>496</v>
      </c>
      <c r="E85" s="9"/>
      <c r="F85" s="9"/>
      <c r="G85" s="9"/>
      <c r="H85" s="9"/>
      <c r="I85" s="9"/>
      <c r="J85" s="9"/>
      <c r="K85" s="9"/>
      <c r="L85" s="9"/>
      <c r="M85" s="9"/>
    </row>
    <row r="86" spans="1:13" x14ac:dyDescent="0.3">
      <c r="A86" s="13" t="s">
        <v>88</v>
      </c>
      <c r="B86" s="14">
        <v>5312</v>
      </c>
      <c r="C86" s="14">
        <v>23746</v>
      </c>
      <c r="D86" s="14">
        <v>137980</v>
      </c>
      <c r="E86" s="15"/>
      <c r="F86" s="15"/>
      <c r="G86" s="15"/>
      <c r="H86" s="15"/>
      <c r="I86" s="15"/>
      <c r="J86" s="15"/>
      <c r="K86" s="9"/>
      <c r="L86" s="9"/>
      <c r="M86" s="9"/>
    </row>
    <row r="87" spans="1:13" x14ac:dyDescent="0.3">
      <c r="A87" s="1" t="s">
        <v>89</v>
      </c>
      <c r="B87" s="8">
        <v>13</v>
      </c>
      <c r="C87" s="8">
        <v>13</v>
      </c>
      <c r="D87" s="8">
        <v>2529</v>
      </c>
      <c r="E87" s="9"/>
      <c r="F87" s="9"/>
      <c r="G87" s="9"/>
      <c r="H87" s="9"/>
      <c r="I87" s="9"/>
      <c r="J87" s="9"/>
      <c r="K87" s="9"/>
      <c r="L87" s="9"/>
      <c r="M87" s="9"/>
    </row>
    <row r="88" spans="1:13" x14ac:dyDescent="0.3">
      <c r="A88" s="1" t="s">
        <v>90</v>
      </c>
      <c r="B88" s="8">
        <v>19</v>
      </c>
      <c r="C88" s="8">
        <v>146</v>
      </c>
      <c r="D88" s="8">
        <v>1187</v>
      </c>
      <c r="E88" s="9"/>
      <c r="F88" s="9"/>
      <c r="G88" s="9"/>
      <c r="H88" s="9"/>
      <c r="I88" s="9"/>
      <c r="J88" s="9"/>
      <c r="K88" s="9"/>
      <c r="L88" s="9"/>
      <c r="M88" s="9"/>
    </row>
    <row r="89" spans="1:13" x14ac:dyDescent="0.3">
      <c r="A89" s="1" t="s">
        <v>91</v>
      </c>
      <c r="B89" s="8">
        <v>35</v>
      </c>
      <c r="C89" s="8">
        <v>126</v>
      </c>
      <c r="D89" s="8">
        <v>1157</v>
      </c>
      <c r="E89" s="9"/>
      <c r="F89" s="9"/>
      <c r="G89" s="9"/>
      <c r="H89" s="9"/>
      <c r="I89" s="9"/>
      <c r="J89" s="9"/>
      <c r="K89" s="9"/>
      <c r="L89" s="9"/>
      <c r="M89" s="9"/>
    </row>
    <row r="90" spans="1:13" x14ac:dyDescent="0.3">
      <c r="A90" s="1" t="s">
        <v>92</v>
      </c>
      <c r="B90" s="8">
        <v>0</v>
      </c>
      <c r="C90" s="8">
        <v>154</v>
      </c>
      <c r="D90" s="8">
        <v>576</v>
      </c>
      <c r="E90" s="9"/>
      <c r="F90" s="9"/>
      <c r="G90" s="9"/>
      <c r="H90" s="9"/>
      <c r="I90" s="9"/>
      <c r="J90" s="9"/>
      <c r="K90" s="9"/>
      <c r="L90" s="9"/>
      <c r="M90" s="9"/>
    </row>
    <row r="91" spans="1:13" x14ac:dyDescent="0.3">
      <c r="A91" s="1" t="s">
        <v>93</v>
      </c>
      <c r="B91" s="8">
        <v>2373</v>
      </c>
      <c r="C91" s="8">
        <v>476</v>
      </c>
      <c r="D91" s="8">
        <v>3929</v>
      </c>
      <c r="E91" s="9"/>
      <c r="F91" s="9"/>
      <c r="G91" s="9"/>
      <c r="H91" s="9"/>
      <c r="I91" s="9"/>
      <c r="J91" s="9"/>
      <c r="K91" s="9"/>
      <c r="L91" s="9"/>
      <c r="M91" s="9"/>
    </row>
    <row r="92" spans="1:13" x14ac:dyDescent="0.3">
      <c r="A92" s="16" t="s">
        <v>94</v>
      </c>
      <c r="B92" s="17">
        <v>7752</v>
      </c>
      <c r="C92" s="17">
        <v>24661</v>
      </c>
      <c r="D92" s="17">
        <v>147358</v>
      </c>
      <c r="E92" s="18"/>
      <c r="F92" s="18"/>
      <c r="G92" s="18"/>
      <c r="H92" s="18"/>
      <c r="I92" s="18"/>
      <c r="J92" s="18"/>
      <c r="K92" s="12"/>
      <c r="L92" s="12"/>
      <c r="M92" s="12"/>
    </row>
    <row r="93" spans="1:13" x14ac:dyDescent="0.3">
      <c r="A93" s="1" t="s">
        <v>95</v>
      </c>
      <c r="B93" s="8">
        <v>333</v>
      </c>
      <c r="C93" s="8">
        <v>2511</v>
      </c>
      <c r="D93" s="8">
        <v>5422</v>
      </c>
      <c r="E93" s="9"/>
      <c r="F93" s="9"/>
      <c r="G93" s="9"/>
      <c r="H93" s="9"/>
      <c r="I93" s="9"/>
      <c r="J93" s="9"/>
      <c r="K93" s="9"/>
      <c r="L93" s="9"/>
      <c r="M93" s="9"/>
    </row>
    <row r="94" spans="1:13" x14ac:dyDescent="0.3">
      <c r="A94" s="1" t="s">
        <v>96</v>
      </c>
      <c r="B94" s="8">
        <v>13</v>
      </c>
      <c r="C94" s="8">
        <v>37</v>
      </c>
      <c r="D94" s="8">
        <v>148</v>
      </c>
      <c r="E94" s="9"/>
      <c r="F94" s="9"/>
      <c r="G94" s="9"/>
      <c r="H94" s="9"/>
      <c r="I94" s="9"/>
      <c r="J94" s="9"/>
      <c r="K94" s="9"/>
      <c r="L94" s="9"/>
      <c r="M94" s="9"/>
    </row>
    <row r="95" spans="1:13" x14ac:dyDescent="0.3">
      <c r="A95" s="1" t="s">
        <v>97</v>
      </c>
      <c r="B95" s="8">
        <v>28</v>
      </c>
      <c r="C95" s="8">
        <v>269</v>
      </c>
      <c r="D95" s="8">
        <v>1650</v>
      </c>
      <c r="E95" s="9"/>
      <c r="F95" s="9"/>
      <c r="G95" s="9"/>
      <c r="H95" s="9"/>
      <c r="I95" s="9"/>
      <c r="J95" s="9"/>
      <c r="K95" s="9"/>
      <c r="L95" s="9"/>
      <c r="M95" s="9"/>
    </row>
    <row r="96" spans="1:13" x14ac:dyDescent="0.3">
      <c r="A96" s="13" t="s">
        <v>98</v>
      </c>
      <c r="B96" s="14">
        <v>374</v>
      </c>
      <c r="C96" s="14">
        <v>2817</v>
      </c>
      <c r="D96" s="14">
        <v>7220</v>
      </c>
      <c r="E96" s="15"/>
      <c r="F96" s="15"/>
      <c r="G96" s="15"/>
      <c r="H96" s="15"/>
      <c r="I96" s="15"/>
      <c r="J96" s="15"/>
      <c r="K96" s="9"/>
      <c r="L96" s="9"/>
      <c r="M96" s="9"/>
    </row>
    <row r="97" spans="1:13" x14ac:dyDescent="0.3">
      <c r="A97" s="1" t="s">
        <v>99</v>
      </c>
      <c r="B97" s="8">
        <v>39</v>
      </c>
      <c r="C97" s="8">
        <v>80</v>
      </c>
      <c r="D97" s="8">
        <v>931</v>
      </c>
      <c r="E97" s="9"/>
      <c r="F97" s="9"/>
      <c r="G97" s="9"/>
      <c r="H97" s="9"/>
      <c r="I97" s="9"/>
      <c r="J97" s="9"/>
      <c r="K97" s="9"/>
      <c r="L97" s="9"/>
      <c r="M97" s="9"/>
    </row>
    <row r="98" spans="1:13" x14ac:dyDescent="0.3">
      <c r="A98" s="1" t="s">
        <v>100</v>
      </c>
      <c r="B98" s="8">
        <v>14116</v>
      </c>
      <c r="C98" s="8">
        <v>41677</v>
      </c>
      <c r="D98" s="8">
        <v>108566</v>
      </c>
      <c r="E98" s="9"/>
      <c r="F98" s="9"/>
      <c r="G98" s="9"/>
      <c r="H98" s="9"/>
      <c r="I98" s="9"/>
      <c r="J98" s="9"/>
      <c r="K98" s="9"/>
      <c r="L98" s="9"/>
      <c r="M98" s="9"/>
    </row>
    <row r="99" spans="1:13" x14ac:dyDescent="0.3">
      <c r="A99" s="1" t="s">
        <v>101</v>
      </c>
      <c r="B99" s="8">
        <v>150</v>
      </c>
      <c r="C99" s="8">
        <v>823</v>
      </c>
      <c r="D99" s="8">
        <v>750</v>
      </c>
      <c r="E99" s="9"/>
      <c r="F99" s="9"/>
      <c r="G99" s="9"/>
      <c r="H99" s="9"/>
      <c r="I99" s="9"/>
      <c r="J99" s="9"/>
      <c r="K99" s="9"/>
      <c r="L99" s="9"/>
      <c r="M99" s="9"/>
    </row>
    <row r="100" spans="1:13" x14ac:dyDescent="0.3">
      <c r="A100" s="16" t="s">
        <v>102</v>
      </c>
      <c r="B100" s="17">
        <v>14679</v>
      </c>
      <c r="C100" s="17">
        <v>45397</v>
      </c>
      <c r="D100" s="17">
        <v>117467</v>
      </c>
      <c r="E100" s="18"/>
      <c r="F100" s="18"/>
      <c r="G100" s="18"/>
      <c r="H100" s="18"/>
      <c r="I100" s="18"/>
      <c r="J100" s="18"/>
      <c r="K100" s="12"/>
      <c r="L100" s="12"/>
      <c r="M100" s="12"/>
    </row>
    <row r="101" spans="1:13" x14ac:dyDescent="0.3">
      <c r="A101" s="1" t="s">
        <v>103</v>
      </c>
      <c r="B101" s="8">
        <v>2874</v>
      </c>
      <c r="C101" s="8">
        <v>29769</v>
      </c>
      <c r="D101" s="8">
        <v>157510</v>
      </c>
      <c r="E101" s="9"/>
      <c r="F101" s="9"/>
      <c r="G101" s="9"/>
      <c r="H101" s="9"/>
      <c r="I101" s="9"/>
      <c r="J101" s="9"/>
      <c r="K101" s="9"/>
      <c r="L101" s="9"/>
      <c r="M101" s="9"/>
    </row>
    <row r="102" spans="1:13" x14ac:dyDescent="0.3">
      <c r="A102" s="1" t="s">
        <v>104</v>
      </c>
      <c r="B102" s="8">
        <v>239</v>
      </c>
      <c r="C102" s="8">
        <v>1644</v>
      </c>
      <c r="D102" s="8">
        <v>5336</v>
      </c>
      <c r="E102" s="9"/>
      <c r="F102" s="9"/>
      <c r="G102" s="9"/>
      <c r="H102" s="9"/>
      <c r="I102" s="9"/>
      <c r="J102" s="9"/>
      <c r="K102" s="9"/>
      <c r="L102" s="9"/>
      <c r="M102" s="9"/>
    </row>
    <row r="103" spans="1:13" x14ac:dyDescent="0.3">
      <c r="A103" s="1" t="s">
        <v>105</v>
      </c>
      <c r="B103" s="8">
        <v>0</v>
      </c>
      <c r="C103" s="8">
        <v>5</v>
      </c>
      <c r="D103" s="8">
        <v>-53</v>
      </c>
      <c r="E103" s="9"/>
      <c r="F103" s="9"/>
      <c r="G103" s="9"/>
      <c r="H103" s="9"/>
      <c r="I103" s="9"/>
      <c r="J103" s="9"/>
      <c r="K103" s="9"/>
      <c r="L103" s="9"/>
      <c r="M103" s="9"/>
    </row>
    <row r="104" spans="1:13" x14ac:dyDescent="0.3">
      <c r="A104" s="1" t="s">
        <v>106</v>
      </c>
      <c r="B104" s="8">
        <v>-10040</v>
      </c>
      <c r="C104" s="8">
        <v>-52154</v>
      </c>
      <c r="D104" s="8">
        <v>-132902</v>
      </c>
      <c r="E104" s="9"/>
      <c r="F104" s="9"/>
      <c r="G104" s="9"/>
      <c r="H104" s="9"/>
      <c r="I104" s="9"/>
      <c r="J104" s="9"/>
      <c r="K104" s="9"/>
      <c r="L104" s="9"/>
      <c r="M104" s="9"/>
    </row>
    <row r="105" spans="1:13" x14ac:dyDescent="0.3">
      <c r="A105" s="13" t="s">
        <v>107</v>
      </c>
      <c r="B105" s="14">
        <v>-9801</v>
      </c>
      <c r="C105" s="14">
        <v>-50505</v>
      </c>
      <c r="D105" s="14">
        <v>-127619</v>
      </c>
      <c r="E105" s="15"/>
      <c r="F105" s="15"/>
      <c r="G105" s="15"/>
      <c r="H105" s="15"/>
      <c r="I105" s="15"/>
      <c r="J105" s="15"/>
      <c r="K105" s="9"/>
      <c r="L105" s="9"/>
      <c r="M105" s="9"/>
    </row>
    <row r="106" spans="1:13" x14ac:dyDescent="0.3">
      <c r="A106" s="16" t="s">
        <v>108</v>
      </c>
      <c r="B106" s="17">
        <v>7752</v>
      </c>
      <c r="C106" s="17">
        <v>24661</v>
      </c>
      <c r="D106" s="17">
        <v>147358</v>
      </c>
      <c r="E106" s="18"/>
      <c r="F106" s="18"/>
      <c r="G106" s="18"/>
      <c r="H106" s="18"/>
      <c r="I106" s="18"/>
      <c r="J106" s="18"/>
      <c r="K106" s="12"/>
      <c r="L106" s="12"/>
      <c r="M106" s="12"/>
    </row>
    <row r="107" spans="1:13" x14ac:dyDescent="0.3">
      <c r="A107" s="1" t="s">
        <v>109</v>
      </c>
      <c r="B107" s="21">
        <v>220219</v>
      </c>
      <c r="C107" s="21">
        <v>544322</v>
      </c>
      <c r="D107" s="21">
        <v>853394</v>
      </c>
      <c r="E107" s="22"/>
      <c r="F107" s="22"/>
      <c r="G107" s="22"/>
      <c r="H107" s="22"/>
      <c r="I107" s="22"/>
      <c r="J107" s="22"/>
      <c r="K107" s="22"/>
      <c r="L107" s="22"/>
      <c r="M107" s="22"/>
    </row>
    <row r="108" spans="1:13" x14ac:dyDescent="0.3">
      <c r="A108" s="1" t="s">
        <v>110</v>
      </c>
      <c r="B108" s="21">
        <v>1779060</v>
      </c>
      <c r="C108" s="21">
        <v>1901267</v>
      </c>
      <c r="D108" s="21">
        <v>2157398</v>
      </c>
      <c r="E108" s="22"/>
      <c r="F108" s="22"/>
      <c r="G108" s="22"/>
      <c r="H108" s="22"/>
      <c r="I108" s="22"/>
      <c r="J108" s="22"/>
      <c r="K108" s="22"/>
      <c r="L108" s="22"/>
      <c r="M108" s="22"/>
    </row>
    <row r="109" spans="1:13" x14ac:dyDescent="0.3">
      <c r="A109" s="1" t="s">
        <v>111</v>
      </c>
      <c r="B109" s="21">
        <v>0</v>
      </c>
      <c r="C109" s="21">
        <v>0</v>
      </c>
      <c r="D109" s="21">
        <v>30643</v>
      </c>
      <c r="E109" s="22"/>
      <c r="F109" s="22"/>
      <c r="G109" s="22"/>
      <c r="H109" s="22"/>
      <c r="I109" s="22"/>
      <c r="J109" s="22"/>
      <c r="K109" s="22"/>
      <c r="L109" s="22"/>
      <c r="M109" s="22"/>
    </row>
    <row r="110" spans="1:13" x14ac:dyDescent="0.3">
      <c r="A110" s="24" t="s">
        <v>112</v>
      </c>
      <c r="B110" s="25">
        <f>IF(B82="","",B92-B100-B101-B105)</f>
        <v>0</v>
      </c>
      <c r="C110" s="25">
        <f>IF(C82="","",C92-C100-C101-C105)</f>
        <v>0</v>
      </c>
      <c r="D110" s="25">
        <f>IF(D82="","",D92-D100-D101-D105)</f>
        <v>0</v>
      </c>
      <c r="E110" s="25" t="str">
        <f>IF(E82="","",E92-E100-E101-E105)</f>
        <v/>
      </c>
      <c r="F110" s="25" t="str">
        <f>IF(F82="","",F92-F100-F101-F105)</f>
        <v/>
      </c>
      <c r="G110" s="25" t="str">
        <f>IF(G82="","",G92-G100-G101-G105)</f>
        <v/>
      </c>
      <c r="H110" s="25" t="str">
        <f>IF(H82="","",H92-H100-H101-H105)</f>
        <v/>
      </c>
      <c r="I110" s="25" t="str">
        <f>IF(I82="","",I92-I100-I101-I105)</f>
        <v/>
      </c>
      <c r="J110" s="25" t="str">
        <f>IF(J82="","",J92-J100-J101-J105)</f>
        <v/>
      </c>
      <c r="K110" s="24"/>
      <c r="L110" s="24"/>
      <c r="M110" s="24"/>
    </row>
    <row r="111" spans="1:13" ht="3" customHeight="1" x14ac:dyDescent="0.3"/>
    <row r="112" spans="1:13" x14ac:dyDescent="0.3">
      <c r="A112" s="5" t="s">
        <v>113</v>
      </c>
      <c r="B112" s="5"/>
      <c r="C112" s="5"/>
      <c r="D112" s="5"/>
      <c r="E112" s="5"/>
      <c r="F112" s="5"/>
      <c r="G112" s="5"/>
      <c r="H112" s="5"/>
      <c r="I112" s="5"/>
      <c r="J112" s="5"/>
      <c r="K112" s="5"/>
    </row>
    <row r="113" spans="1:13" x14ac:dyDescent="0.3">
      <c r="A113" s="6" t="s">
        <v>114</v>
      </c>
      <c r="B113" s="7" t="s">
        <v>4</v>
      </c>
      <c r="C113" s="7" t="s">
        <v>5</v>
      </c>
      <c r="D113" s="7" t="s">
        <v>6</v>
      </c>
      <c r="E113" s="7" t="s">
        <v>7</v>
      </c>
      <c r="F113" s="7" t="s">
        <v>8</v>
      </c>
      <c r="G113" s="7" t="s">
        <v>9</v>
      </c>
      <c r="H113" s="7" t="s">
        <v>10</v>
      </c>
      <c r="I113" s="7" t="s">
        <v>11</v>
      </c>
      <c r="J113" s="7" t="s">
        <v>12</v>
      </c>
      <c r="K113" s="7" t="s">
        <v>13</v>
      </c>
    </row>
    <row r="114" spans="1:13" x14ac:dyDescent="0.3">
      <c r="A114" s="1" t="s">
        <v>29</v>
      </c>
      <c r="B114" s="8">
        <v>-1531</v>
      </c>
      <c r="C114" s="8">
        <v>-8309</v>
      </c>
      <c r="D114" s="8">
        <v>-41965</v>
      </c>
      <c r="E114" s="8">
        <v>-12969</v>
      </c>
      <c r="F114" s="8">
        <v>-80748</v>
      </c>
      <c r="G114" s="9"/>
      <c r="H114" s="9"/>
      <c r="I114" s="9"/>
      <c r="J114" s="9"/>
      <c r="K114" s="9"/>
      <c r="L114" s="9"/>
      <c r="M114" s="9"/>
    </row>
    <row r="115" spans="1:13" x14ac:dyDescent="0.3">
      <c r="A115" s="3" t="s">
        <v>115</v>
      </c>
    </row>
    <row r="116" spans="1:13" x14ac:dyDescent="0.3">
      <c r="A116" s="1" t="s">
        <v>52</v>
      </c>
      <c r="B116" s="8">
        <v>29</v>
      </c>
      <c r="C116" s="8">
        <v>192</v>
      </c>
      <c r="D116" s="8">
        <v>1158</v>
      </c>
      <c r="E116" s="8">
        <v>279</v>
      </c>
      <c r="F116" s="8">
        <v>2185</v>
      </c>
      <c r="G116" s="9"/>
      <c r="H116" s="9"/>
      <c r="I116" s="9"/>
      <c r="J116" s="9"/>
      <c r="K116" s="9"/>
      <c r="L116" s="9"/>
      <c r="M116" s="9"/>
    </row>
    <row r="117" spans="1:13" x14ac:dyDescent="0.3">
      <c r="A117" s="1" t="s">
        <v>116</v>
      </c>
      <c r="B117" s="8">
        <v>3</v>
      </c>
      <c r="C117" s="8">
        <v>21</v>
      </c>
      <c r="D117" s="8">
        <v>40</v>
      </c>
      <c r="E117" s="8">
        <v>14</v>
      </c>
      <c r="F117" s="8">
        <v>97</v>
      </c>
      <c r="G117" s="9"/>
      <c r="H117" s="9"/>
      <c r="I117" s="9"/>
      <c r="J117" s="9"/>
      <c r="K117" s="9"/>
      <c r="L117" s="9"/>
      <c r="M117" s="9"/>
    </row>
    <row r="118" spans="1:13" x14ac:dyDescent="0.3">
      <c r="A118" s="1" t="s">
        <v>24</v>
      </c>
      <c r="B118" s="8">
        <v>1045</v>
      </c>
      <c r="C118" s="8">
        <v>5434</v>
      </c>
      <c r="D118" s="8">
        <v>34308</v>
      </c>
      <c r="E118" s="8">
        <v>10942</v>
      </c>
      <c r="F118" s="8">
        <v>72388</v>
      </c>
      <c r="G118" s="9"/>
      <c r="H118" s="9"/>
      <c r="I118" s="9"/>
      <c r="J118" s="9"/>
      <c r="K118" s="9"/>
      <c r="L118" s="9"/>
      <c r="M118" s="9"/>
    </row>
    <row r="119" spans="1:13" x14ac:dyDescent="0.3">
      <c r="A119" s="1" t="s">
        <v>117</v>
      </c>
      <c r="B119" s="8">
        <v>0</v>
      </c>
      <c r="C119" s="8">
        <v>0</v>
      </c>
      <c r="D119" s="8">
        <v>541</v>
      </c>
      <c r="E119" s="8">
        <v>0</v>
      </c>
      <c r="F119" s="8">
        <v>126</v>
      </c>
      <c r="G119" s="9"/>
      <c r="H119" s="9"/>
      <c r="I119" s="9"/>
      <c r="J119" s="9"/>
      <c r="K119" s="9"/>
      <c r="L119" s="9"/>
      <c r="M119" s="9"/>
    </row>
    <row r="120" spans="1:13" x14ac:dyDescent="0.3">
      <c r="A120" s="1" t="s">
        <v>118</v>
      </c>
      <c r="B120" s="8">
        <v>0</v>
      </c>
      <c r="C120" s="8">
        <v>0</v>
      </c>
      <c r="D120" s="8">
        <v>0</v>
      </c>
      <c r="E120" s="8">
        <v>0</v>
      </c>
      <c r="F120" s="8">
        <v>8720</v>
      </c>
      <c r="G120" s="9"/>
      <c r="H120" s="9"/>
      <c r="I120" s="9"/>
      <c r="J120" s="9"/>
      <c r="K120" s="9"/>
      <c r="L120" s="9"/>
      <c r="M120" s="9"/>
    </row>
    <row r="121" spans="1:13" x14ac:dyDescent="0.3">
      <c r="A121" s="1" t="s">
        <v>119</v>
      </c>
      <c r="B121" s="8">
        <v>0</v>
      </c>
      <c r="C121" s="8">
        <v>7</v>
      </c>
      <c r="D121" s="8">
        <v>11</v>
      </c>
      <c r="E121" s="8">
        <v>5</v>
      </c>
      <c r="F121" s="8">
        <v>-7</v>
      </c>
      <c r="G121" s="9"/>
      <c r="H121" s="9"/>
      <c r="I121" s="9"/>
      <c r="J121" s="9"/>
      <c r="K121" s="9"/>
      <c r="L121" s="9"/>
      <c r="M121" s="9"/>
    </row>
    <row r="122" spans="1:13" x14ac:dyDescent="0.3">
      <c r="A122" s="3" t="s">
        <v>120</v>
      </c>
    </row>
    <row r="123" spans="1:13" x14ac:dyDescent="0.3">
      <c r="A123" s="1" t="s">
        <v>86</v>
      </c>
      <c r="B123" s="8">
        <v>-10</v>
      </c>
      <c r="C123" s="8">
        <v>-90</v>
      </c>
      <c r="D123" s="8">
        <v>-834</v>
      </c>
      <c r="E123" s="8">
        <v>-384</v>
      </c>
      <c r="F123" s="8">
        <v>-4982</v>
      </c>
      <c r="G123" s="9"/>
      <c r="H123" s="9"/>
      <c r="I123" s="9"/>
      <c r="J123" s="9"/>
      <c r="K123" s="9"/>
      <c r="L123" s="9"/>
      <c r="M123" s="9"/>
    </row>
    <row r="124" spans="1:13" x14ac:dyDescent="0.3">
      <c r="A124" s="1" t="s">
        <v>121</v>
      </c>
      <c r="B124" s="8">
        <v>-1253</v>
      </c>
      <c r="C124" s="8">
        <v>-3190</v>
      </c>
      <c r="D124" s="8">
        <v>1771</v>
      </c>
      <c r="E124" s="8">
        <v>212</v>
      </c>
      <c r="F124" s="8">
        <v>2094</v>
      </c>
      <c r="G124" s="9"/>
      <c r="H124" s="9"/>
      <c r="I124" s="9"/>
      <c r="J124" s="9"/>
      <c r="K124" s="9"/>
      <c r="L124" s="9"/>
      <c r="M124" s="9"/>
    </row>
    <row r="125" spans="1:13" x14ac:dyDescent="0.3">
      <c r="A125" s="1" t="s">
        <v>122</v>
      </c>
      <c r="B125" s="8">
        <v>84</v>
      </c>
      <c r="C125" s="8">
        <v>222</v>
      </c>
      <c r="D125" s="8">
        <v>2079</v>
      </c>
      <c r="E125" s="8">
        <v>257</v>
      </c>
      <c r="F125" s="8">
        <v>2679</v>
      </c>
      <c r="G125" s="9"/>
      <c r="H125" s="9"/>
      <c r="I125" s="9"/>
      <c r="J125" s="9"/>
      <c r="K125" s="9"/>
      <c r="L125" s="9"/>
      <c r="M125" s="9"/>
    </row>
    <row r="126" spans="1:13" x14ac:dyDescent="0.3">
      <c r="A126" s="1" t="s">
        <v>123</v>
      </c>
      <c r="B126" s="8">
        <v>-1</v>
      </c>
      <c r="C126" s="8">
        <v>0</v>
      </c>
      <c r="D126" s="8">
        <v>13</v>
      </c>
      <c r="E126" s="8">
        <v>7</v>
      </c>
      <c r="F126" s="8">
        <v>-3</v>
      </c>
      <c r="G126" s="9"/>
      <c r="H126" s="9"/>
      <c r="I126" s="9"/>
      <c r="J126" s="9"/>
      <c r="K126" s="9"/>
      <c r="L126" s="9"/>
      <c r="M126" s="9"/>
    </row>
    <row r="127" spans="1:13" x14ac:dyDescent="0.3">
      <c r="A127" s="1" t="s">
        <v>97</v>
      </c>
      <c r="B127" s="8">
        <v>7</v>
      </c>
      <c r="C127" s="8">
        <v>21</v>
      </c>
      <c r="D127" s="8">
        <v>241</v>
      </c>
      <c r="E127" s="8">
        <v>124</v>
      </c>
      <c r="F127" s="8">
        <v>1380</v>
      </c>
      <c r="G127" s="9"/>
      <c r="H127" s="9"/>
      <c r="I127" s="9"/>
      <c r="J127" s="9"/>
      <c r="K127" s="9"/>
      <c r="L127" s="9"/>
      <c r="M127" s="9"/>
    </row>
    <row r="128" spans="1:13" x14ac:dyDescent="0.3">
      <c r="A128" s="16" t="s">
        <v>124</v>
      </c>
      <c r="B128" s="17">
        <v>-1627</v>
      </c>
      <c r="C128" s="17">
        <v>-5692</v>
      </c>
      <c r="D128" s="17">
        <v>-2637</v>
      </c>
      <c r="E128" s="17">
        <v>-1513</v>
      </c>
      <c r="F128" s="17">
        <v>3929</v>
      </c>
      <c r="G128" s="18"/>
      <c r="H128" s="18"/>
      <c r="I128" s="18"/>
      <c r="J128" s="18"/>
      <c r="K128" s="18"/>
      <c r="L128" s="12"/>
      <c r="M128" s="12"/>
    </row>
    <row r="129" spans="1:13" x14ac:dyDescent="0.3">
      <c r="A129" s="3" t="s">
        <v>125</v>
      </c>
    </row>
    <row r="130" spans="1:13" x14ac:dyDescent="0.3">
      <c r="A130" s="1" t="s">
        <v>126</v>
      </c>
      <c r="B130" s="8">
        <v>-2</v>
      </c>
      <c r="C130" s="8">
        <v>-15</v>
      </c>
      <c r="D130" s="8">
        <v>-131</v>
      </c>
      <c r="E130" s="8">
        <v>-18</v>
      </c>
      <c r="F130" s="8">
        <v>-482</v>
      </c>
      <c r="G130" s="9"/>
      <c r="H130" s="9"/>
      <c r="I130" s="9"/>
      <c r="J130" s="9"/>
      <c r="K130" s="9"/>
      <c r="L130" s="9"/>
      <c r="M130" s="9"/>
    </row>
    <row r="131" spans="1:13" x14ac:dyDescent="0.3">
      <c r="A131" s="1" t="s">
        <v>127</v>
      </c>
      <c r="B131" s="8">
        <v>0</v>
      </c>
      <c r="C131" s="8">
        <v>0</v>
      </c>
      <c r="D131" s="8">
        <v>-3082</v>
      </c>
      <c r="E131" s="8">
        <v>0</v>
      </c>
      <c r="F131" s="8">
        <v>-18972</v>
      </c>
      <c r="G131" s="9"/>
      <c r="H131" s="9"/>
      <c r="I131" s="9"/>
      <c r="J131" s="9"/>
      <c r="K131" s="9"/>
      <c r="L131" s="9"/>
      <c r="M131" s="9"/>
    </row>
    <row r="132" spans="1:13" x14ac:dyDescent="0.3">
      <c r="A132" s="1" t="s">
        <v>128</v>
      </c>
      <c r="B132" s="8">
        <v>0</v>
      </c>
      <c r="C132" s="8">
        <v>0</v>
      </c>
      <c r="D132" s="8">
        <v>213</v>
      </c>
      <c r="E132" s="8">
        <v>0</v>
      </c>
      <c r="F132" s="8">
        <v>2610</v>
      </c>
      <c r="G132" s="9"/>
      <c r="H132" s="9"/>
      <c r="I132" s="9"/>
      <c r="J132" s="9"/>
      <c r="K132" s="9"/>
      <c r="L132" s="9"/>
      <c r="M132" s="9"/>
    </row>
    <row r="133" spans="1:13" x14ac:dyDescent="0.3">
      <c r="A133" s="1" t="s">
        <v>129</v>
      </c>
      <c r="B133" s="8">
        <v>0</v>
      </c>
      <c r="C133" s="8">
        <v>-7</v>
      </c>
      <c r="D133" s="8">
        <v>-77</v>
      </c>
      <c r="E133" s="8">
        <v>-31</v>
      </c>
      <c r="F133" s="8">
        <v>-337</v>
      </c>
      <c r="G133" s="9"/>
      <c r="H133" s="9"/>
      <c r="I133" s="9"/>
      <c r="J133" s="9"/>
      <c r="K133" s="9"/>
      <c r="L133" s="9"/>
      <c r="M133" s="9"/>
    </row>
    <row r="134" spans="1:13" x14ac:dyDescent="0.3">
      <c r="A134" s="16" t="s">
        <v>130</v>
      </c>
      <c r="B134" s="17">
        <v>-2</v>
      </c>
      <c r="C134" s="17">
        <v>-22</v>
      </c>
      <c r="D134" s="17">
        <v>-3077</v>
      </c>
      <c r="E134" s="17">
        <v>-49</v>
      </c>
      <c r="F134" s="17">
        <v>-17181</v>
      </c>
      <c r="G134" s="18"/>
      <c r="H134" s="18"/>
      <c r="I134" s="18"/>
      <c r="J134" s="18"/>
      <c r="K134" s="18"/>
      <c r="L134" s="12"/>
      <c r="M134" s="12"/>
    </row>
    <row r="135" spans="1:13" x14ac:dyDescent="0.3">
      <c r="A135" s="3" t="s">
        <v>131</v>
      </c>
    </row>
    <row r="136" spans="1:13" x14ac:dyDescent="0.3">
      <c r="A136" s="1" t="s">
        <v>132</v>
      </c>
      <c r="B136" s="8">
        <v>445</v>
      </c>
      <c r="C136" s="8">
        <v>1188</v>
      </c>
      <c r="D136" s="8">
        <v>16548</v>
      </c>
      <c r="E136" s="8">
        <v>3549</v>
      </c>
      <c r="F136" s="8">
        <v>110432</v>
      </c>
      <c r="G136" s="9"/>
      <c r="H136" s="9"/>
      <c r="I136" s="9"/>
      <c r="J136" s="9"/>
      <c r="K136" s="9"/>
      <c r="L136" s="9"/>
      <c r="M136" s="9"/>
    </row>
    <row r="137" spans="1:13" x14ac:dyDescent="0.3">
      <c r="A137" s="1" t="s">
        <v>133</v>
      </c>
      <c r="B137" s="8">
        <v>0</v>
      </c>
      <c r="C137" s="8">
        <v>0</v>
      </c>
      <c r="D137" s="8">
        <v>0</v>
      </c>
      <c r="E137" s="8">
        <v>0</v>
      </c>
      <c r="F137" s="8">
        <v>-4</v>
      </c>
      <c r="G137" s="9"/>
      <c r="H137" s="9"/>
      <c r="I137" s="9"/>
      <c r="J137" s="9"/>
      <c r="K137" s="9"/>
      <c r="L137" s="9"/>
      <c r="M137" s="9"/>
    </row>
    <row r="138" spans="1:13" x14ac:dyDescent="0.3">
      <c r="A138" s="1" t="s">
        <v>134</v>
      </c>
      <c r="B138" s="8">
        <v>1750</v>
      </c>
      <c r="C138" s="8">
        <v>6050</v>
      </c>
      <c r="D138" s="8">
        <v>3450</v>
      </c>
      <c r="E138" s="8">
        <v>1300</v>
      </c>
      <c r="F138" s="8">
        <v>0</v>
      </c>
      <c r="G138" s="9"/>
      <c r="H138" s="9"/>
      <c r="I138" s="9"/>
      <c r="J138" s="9"/>
      <c r="K138" s="9"/>
      <c r="L138" s="9"/>
      <c r="M138" s="9"/>
    </row>
    <row r="139" spans="1:13" x14ac:dyDescent="0.3">
      <c r="A139" s="1" t="s">
        <v>135</v>
      </c>
      <c r="B139" s="8">
        <v>3</v>
      </c>
      <c r="C139" s="8">
        <v>10</v>
      </c>
      <c r="D139" s="8">
        <v>111</v>
      </c>
      <c r="E139" s="8">
        <v>49</v>
      </c>
      <c r="F139" s="8">
        <v>355</v>
      </c>
      <c r="G139" s="9"/>
      <c r="H139" s="9"/>
      <c r="I139" s="9"/>
      <c r="J139" s="9"/>
      <c r="K139" s="9"/>
      <c r="L139" s="9"/>
      <c r="M139" s="9"/>
    </row>
    <row r="140" spans="1:13" x14ac:dyDescent="0.3">
      <c r="A140" s="1" t="s">
        <v>136</v>
      </c>
      <c r="B140" s="8">
        <v>0</v>
      </c>
      <c r="C140" s="8">
        <v>0</v>
      </c>
      <c r="D140" s="8">
        <v>-149</v>
      </c>
      <c r="E140" s="8">
        <v>-149</v>
      </c>
      <c r="F140" s="8">
        <v>0</v>
      </c>
      <c r="G140" s="9"/>
      <c r="H140" s="9"/>
      <c r="I140" s="9"/>
      <c r="J140" s="9"/>
      <c r="K140" s="9"/>
      <c r="L140" s="9"/>
      <c r="M140" s="9"/>
    </row>
    <row r="141" spans="1:13" x14ac:dyDescent="0.3">
      <c r="A141" s="1" t="s">
        <v>137</v>
      </c>
      <c r="B141" s="8">
        <v>122</v>
      </c>
      <c r="C141" s="8">
        <v>0</v>
      </c>
      <c r="D141" s="8">
        <v>0</v>
      </c>
      <c r="E141" s="8">
        <v>0</v>
      </c>
      <c r="F141" s="8">
        <v>0</v>
      </c>
      <c r="G141" s="9"/>
      <c r="H141" s="9"/>
      <c r="I141" s="9"/>
      <c r="J141" s="9"/>
      <c r="K141" s="9"/>
      <c r="L141" s="9"/>
      <c r="M141" s="9"/>
    </row>
    <row r="142" spans="1:13" x14ac:dyDescent="0.3">
      <c r="A142" s="1" t="s">
        <v>138</v>
      </c>
      <c r="B142" s="8">
        <v>0</v>
      </c>
      <c r="C142" s="8">
        <v>0</v>
      </c>
      <c r="D142" s="8">
        <v>0</v>
      </c>
      <c r="E142" s="8">
        <v>0</v>
      </c>
      <c r="F142" s="8">
        <v>-9</v>
      </c>
      <c r="G142" s="9"/>
      <c r="H142" s="9"/>
      <c r="I142" s="9"/>
      <c r="J142" s="9"/>
      <c r="K142" s="9"/>
      <c r="L142" s="9"/>
      <c r="M142" s="9"/>
    </row>
    <row r="143" spans="1:13" x14ac:dyDescent="0.3">
      <c r="A143" s="16" t="s">
        <v>139</v>
      </c>
      <c r="B143" s="17">
        <v>2320</v>
      </c>
      <c r="C143" s="17">
        <v>7248</v>
      </c>
      <c r="D143" s="17">
        <v>19960</v>
      </c>
      <c r="E143" s="17">
        <v>4749</v>
      </c>
      <c r="F143" s="17">
        <v>110774</v>
      </c>
      <c r="G143" s="18"/>
      <c r="H143" s="18"/>
      <c r="I143" s="18"/>
      <c r="J143" s="18"/>
      <c r="K143" s="18"/>
      <c r="L143" s="12"/>
      <c r="M143" s="12"/>
    </row>
    <row r="144" spans="1:13" x14ac:dyDescent="0.3">
      <c r="A144" s="1" t="s">
        <v>140</v>
      </c>
      <c r="B144" s="8">
        <v>0</v>
      </c>
      <c r="C144" s="8">
        <v>0</v>
      </c>
      <c r="D144" s="8">
        <v>1</v>
      </c>
      <c r="E144" s="8">
        <v>1</v>
      </c>
      <c r="F144" s="8">
        <v>-5</v>
      </c>
      <c r="G144" s="9"/>
      <c r="H144" s="9"/>
      <c r="I144" s="9"/>
      <c r="J144" s="9"/>
      <c r="K144" s="9"/>
      <c r="L144" s="9"/>
      <c r="M144" s="9"/>
    </row>
    <row r="145" spans="1:13" x14ac:dyDescent="0.3">
      <c r="A145" s="13" t="s">
        <v>141</v>
      </c>
      <c r="B145" s="14">
        <v>691</v>
      </c>
      <c r="C145" s="14">
        <v>1534</v>
      </c>
      <c r="D145" s="14">
        <v>14247</v>
      </c>
      <c r="E145" s="14">
        <v>3188</v>
      </c>
      <c r="F145" s="14">
        <v>97517</v>
      </c>
      <c r="G145" s="15"/>
      <c r="H145" s="15"/>
      <c r="I145" s="15"/>
      <c r="J145" s="15"/>
      <c r="K145" s="15"/>
      <c r="L145" s="9"/>
      <c r="M145" s="9"/>
    </row>
    <row r="146" spans="1:13" x14ac:dyDescent="0.3">
      <c r="A146" s="1" t="s">
        <v>142</v>
      </c>
      <c r="B146" s="8">
        <v>929</v>
      </c>
      <c r="C146" s="8">
        <v>1620</v>
      </c>
      <c r="D146" s="8">
        <v>3154</v>
      </c>
      <c r="E146" s="8">
        <v>3154</v>
      </c>
      <c r="F146" s="8">
        <v>17401</v>
      </c>
      <c r="G146" s="9"/>
      <c r="H146" s="9"/>
      <c r="I146" s="9"/>
      <c r="J146" s="9"/>
      <c r="K146" s="9"/>
      <c r="L146" s="9"/>
      <c r="M146" s="9"/>
    </row>
    <row r="147" spans="1:13" x14ac:dyDescent="0.3">
      <c r="A147" s="16" t="s">
        <v>143</v>
      </c>
      <c r="B147" s="17">
        <v>1620</v>
      </c>
      <c r="C147" s="17">
        <v>3154</v>
      </c>
      <c r="D147" s="17">
        <v>17401</v>
      </c>
      <c r="E147" s="17">
        <v>6342</v>
      </c>
      <c r="F147" s="17">
        <v>114918</v>
      </c>
      <c r="G147" s="18"/>
      <c r="H147" s="18"/>
      <c r="I147" s="18"/>
      <c r="J147" s="18"/>
      <c r="K147" s="18"/>
      <c r="L147" s="12"/>
      <c r="M147" s="12"/>
    </row>
    <row r="148" spans="1:13" x14ac:dyDescent="0.3">
      <c r="A148" s="10" t="s">
        <v>144</v>
      </c>
      <c r="B148" s="34">
        <f>IF(B128="","",B128+B130)</f>
        <v>-1629</v>
      </c>
      <c r="C148" s="34">
        <f>IF(C128="","",C128+C130)</f>
        <v>-5707</v>
      </c>
      <c r="D148" s="34">
        <f>IF(D128="","",D128+D130)</f>
        <v>-2768</v>
      </c>
      <c r="E148" s="34">
        <f>IF(E128="","",E128+E130)</f>
        <v>-1531</v>
      </c>
      <c r="F148" s="34">
        <f>IF(F128="","",F128+F130)</f>
        <v>3447</v>
      </c>
      <c r="G148" s="34" t="str">
        <f>IF(G128="","",G128+G130)</f>
        <v/>
      </c>
      <c r="H148" s="34" t="str">
        <f>IF(H128="","",H128+H130)</f>
        <v/>
      </c>
      <c r="I148" s="34" t="str">
        <f>IF(I128="","",I128+I130)</f>
        <v/>
      </c>
      <c r="J148" s="34" t="str">
        <f>IF(J128="","",J128+J130)</f>
        <v/>
      </c>
      <c r="K148" s="34" t="str">
        <f>IF(K128="","",K128+K130)</f>
        <v/>
      </c>
    </row>
    <row r="149" spans="1:13" x14ac:dyDescent="0.3">
      <c r="A149" s="24" t="s">
        <v>145</v>
      </c>
      <c r="B149" s="25">
        <f>IF(B114="","",(B128-B114-SUM(B116:B121)-SUM(B123:B127))+(B147-B146-B145))</f>
        <v>0</v>
      </c>
      <c r="C149" s="25">
        <f>IF(C114="","",(C128-C114-SUM(C116:C121)-SUM(C123:C127))+(C147-C146-C145))</f>
        <v>0</v>
      </c>
      <c r="D149" s="25">
        <f>IF(D114="","",(D128-D114-SUM(D116:D121)-SUM(D123:D127))+(D147-D146-D145))</f>
        <v>0</v>
      </c>
      <c r="E149" s="25">
        <f>IF(E114="","",(E128-E114-SUM(E116:E121)-SUM(E123:E127))+(E147-E146-E145))</f>
        <v>0</v>
      </c>
      <c r="F149" s="25">
        <f>IF(F114="","",(F128-F114-SUM(F116:F121)-SUM(F123:F127))+(F147-F146-F145))</f>
        <v>0</v>
      </c>
      <c r="G149" s="25" t="str">
        <f>IF(G114="","",(G128-G114-SUM(G116:G121)-SUM(G123:G127))+(G147-G146-G145))</f>
        <v/>
      </c>
      <c r="H149" s="25" t="str">
        <f>IF(H114="","",(H128-H114-SUM(H116:H121)-SUM(H123:H127))+(H147-H146-H145))</f>
        <v/>
      </c>
      <c r="I149" s="25" t="str">
        <f>IF(I114="","",(I128-I114-SUM(I116:I121)-SUM(I123:I127))+(I147-I146-I145))</f>
        <v/>
      </c>
      <c r="J149" s="25" t="str">
        <f>IF(J114="","",(J128-J114-SUM(J116:J121)-SUM(J123:J127))+(J147-J146-J145))</f>
        <v/>
      </c>
      <c r="K149" s="25" t="str">
        <f>IF(K114="","",(K128-K114-SUM(K116:K121)-SUM(K123:K127))+(K147-K146-K145))</f>
        <v/>
      </c>
      <c r="L149" s="24"/>
      <c r="M149" s="24"/>
    </row>
    <row r="150" spans="1:13" ht="3" customHeight="1" x14ac:dyDescent="0.3"/>
    <row r="151" spans="1:13" x14ac:dyDescent="0.3">
      <c r="A151" s="5" t="s">
        <v>146</v>
      </c>
      <c r="B151" s="5"/>
      <c r="C151" s="5"/>
      <c r="D151" s="5"/>
      <c r="E151" s="5"/>
      <c r="F151" s="5"/>
      <c r="G151" s="5"/>
      <c r="H151" s="5"/>
      <c r="I151" s="5"/>
      <c r="J151" s="5"/>
    </row>
    <row r="152" spans="1:13" x14ac:dyDescent="0.3">
      <c r="A152" s="6" t="s">
        <v>73</v>
      </c>
      <c r="B152" s="7" t="s">
        <v>74</v>
      </c>
      <c r="C152" s="7" t="s">
        <v>75</v>
      </c>
      <c r="D152" s="7" t="s">
        <v>76</v>
      </c>
      <c r="E152" s="7" t="s">
        <v>77</v>
      </c>
      <c r="F152" s="7" t="s">
        <v>78</v>
      </c>
      <c r="G152" s="7" t="s">
        <v>79</v>
      </c>
      <c r="H152" s="7" t="s">
        <v>80</v>
      </c>
      <c r="I152" s="7" t="s">
        <v>81</v>
      </c>
      <c r="J152" s="7" t="s">
        <v>82</v>
      </c>
    </row>
    <row r="153" spans="1:13" x14ac:dyDescent="0.3">
      <c r="A153" s="1" t="s">
        <v>147</v>
      </c>
      <c r="B153" s="8">
        <v>16</v>
      </c>
      <c r="C153" s="8">
        <v>51</v>
      </c>
      <c r="D153" s="8">
        <v>58</v>
      </c>
      <c r="E153" s="9"/>
      <c r="F153" s="9"/>
      <c r="G153" s="9"/>
      <c r="H153" s="9"/>
      <c r="I153" s="9"/>
      <c r="J153" s="9"/>
      <c r="K153" s="9"/>
      <c r="L153" s="9"/>
      <c r="M153" s="9"/>
    </row>
    <row r="154" spans="1:13" x14ac:dyDescent="0.3">
      <c r="A154" s="1" t="s">
        <v>148</v>
      </c>
      <c r="B154" s="8">
        <v>0</v>
      </c>
      <c r="C154" s="8">
        <v>34</v>
      </c>
      <c r="D154" s="8">
        <v>618</v>
      </c>
      <c r="E154" s="9"/>
      <c r="F154" s="9"/>
      <c r="G154" s="9"/>
      <c r="H154" s="9"/>
      <c r="I154" s="9"/>
      <c r="J154" s="9"/>
      <c r="K154" s="9"/>
      <c r="L154" s="9"/>
      <c r="M154" s="9"/>
    </row>
    <row r="155" spans="1:13" x14ac:dyDescent="0.3">
      <c r="A155" s="1" t="s">
        <v>149</v>
      </c>
      <c r="B155" s="8">
        <v>4</v>
      </c>
      <c r="C155" s="8">
        <v>63</v>
      </c>
      <c r="D155" s="8">
        <v>536</v>
      </c>
      <c r="E155" s="9"/>
      <c r="F155" s="9"/>
      <c r="G155" s="9"/>
      <c r="H155" s="9"/>
      <c r="I155" s="9"/>
      <c r="J155" s="9"/>
      <c r="K155" s="9"/>
      <c r="L155" s="9"/>
      <c r="M155" s="9"/>
    </row>
    <row r="156" spans="1:13" x14ac:dyDescent="0.3">
      <c r="A156" s="1" t="s">
        <v>150</v>
      </c>
      <c r="B156" s="8">
        <v>3</v>
      </c>
      <c r="C156" s="8">
        <v>10</v>
      </c>
      <c r="D156" s="8">
        <v>22</v>
      </c>
      <c r="E156" s="9"/>
      <c r="F156" s="9"/>
      <c r="G156" s="9"/>
      <c r="H156" s="9"/>
      <c r="I156" s="9"/>
      <c r="J156" s="9"/>
      <c r="K156" s="9"/>
      <c r="L156" s="9"/>
      <c r="M156" s="9"/>
    </row>
    <row r="157" spans="1:13" x14ac:dyDescent="0.3">
      <c r="A157" s="13" t="s">
        <v>151</v>
      </c>
      <c r="B157" s="14">
        <v>23</v>
      </c>
      <c r="C157" s="14">
        <v>158</v>
      </c>
      <c r="D157" s="14">
        <v>1234</v>
      </c>
      <c r="E157" s="15"/>
      <c r="F157" s="15"/>
      <c r="G157" s="15"/>
      <c r="H157" s="15"/>
      <c r="I157" s="15"/>
      <c r="J157" s="15"/>
      <c r="K157" s="9"/>
      <c r="L157" s="9"/>
      <c r="M157" s="9"/>
    </row>
    <row r="158" spans="1:13" x14ac:dyDescent="0.3">
      <c r="A158" s="1" t="s">
        <v>152</v>
      </c>
      <c r="B158" s="8">
        <v>-4</v>
      </c>
      <c r="C158" s="8">
        <v>-12</v>
      </c>
      <c r="D158" s="8">
        <v>-47</v>
      </c>
      <c r="E158" s="9"/>
      <c r="F158" s="9"/>
      <c r="G158" s="9"/>
      <c r="H158" s="9"/>
      <c r="I158" s="9"/>
      <c r="J158" s="9"/>
      <c r="K158" s="9"/>
      <c r="L158" s="9"/>
      <c r="M158" s="9"/>
    </row>
    <row r="159" spans="1:13" x14ac:dyDescent="0.3">
      <c r="A159" s="16" t="s">
        <v>153</v>
      </c>
      <c r="B159" s="17">
        <v>19</v>
      </c>
      <c r="C159" s="17">
        <v>146</v>
      </c>
      <c r="D159" s="17">
        <v>1187</v>
      </c>
      <c r="E159" s="18"/>
      <c r="F159" s="18"/>
      <c r="G159" s="18"/>
      <c r="H159" s="18"/>
      <c r="I159" s="18"/>
      <c r="J159" s="18"/>
      <c r="K159" s="12"/>
      <c r="L159" s="12"/>
      <c r="M159" s="12"/>
    </row>
    <row r="160" spans="1:13" x14ac:dyDescent="0.3">
      <c r="A160" s="1" t="s">
        <v>154</v>
      </c>
      <c r="B160" s="8"/>
      <c r="C160" s="8">
        <v>8200</v>
      </c>
      <c r="D160" s="9"/>
      <c r="E160" s="9"/>
      <c r="F160" s="9"/>
      <c r="G160" s="9"/>
      <c r="H160" s="9"/>
      <c r="I160" s="9"/>
      <c r="J160" s="9"/>
      <c r="K160" s="9"/>
      <c r="L160" s="9"/>
      <c r="M160" s="9"/>
    </row>
    <row r="161" spans="1:13" x14ac:dyDescent="0.3">
      <c r="A161" s="1" t="s">
        <v>155</v>
      </c>
      <c r="B161" s="8"/>
      <c r="C161" s="8">
        <v>4200</v>
      </c>
      <c r="D161" s="9"/>
      <c r="E161" s="9"/>
      <c r="F161" s="9"/>
      <c r="G161" s="9"/>
      <c r="H161" s="9"/>
      <c r="I161" s="9"/>
      <c r="J161" s="9"/>
      <c r="K161" s="9"/>
      <c r="L161" s="9"/>
      <c r="M161" s="9"/>
    </row>
    <row r="162" spans="1:13" x14ac:dyDescent="0.3">
      <c r="A162" s="1" t="s">
        <v>156</v>
      </c>
      <c r="B162" s="8"/>
      <c r="C162" s="8">
        <v>656</v>
      </c>
      <c r="D162" s="9"/>
      <c r="E162" s="9"/>
      <c r="F162" s="9"/>
      <c r="G162" s="9"/>
      <c r="H162" s="9"/>
      <c r="I162" s="9"/>
      <c r="J162" s="9"/>
      <c r="K162" s="9"/>
      <c r="L162" s="9"/>
      <c r="M162" s="9"/>
    </row>
    <row r="163" spans="1:13" x14ac:dyDescent="0.3">
      <c r="A163" s="1" t="s">
        <v>157</v>
      </c>
      <c r="B163" s="8"/>
      <c r="C163" s="8"/>
      <c r="D163" s="8">
        <v>6200</v>
      </c>
      <c r="E163" s="9"/>
      <c r="F163" s="9"/>
      <c r="G163" s="9"/>
      <c r="H163" s="9"/>
      <c r="I163" s="9"/>
      <c r="J163" s="9"/>
      <c r="K163" s="9"/>
      <c r="L163" s="9"/>
      <c r="M163" s="9"/>
    </row>
    <row r="164" spans="1:13" x14ac:dyDescent="0.3">
      <c r="A164" s="24" t="s">
        <v>158</v>
      </c>
      <c r="B164" s="25">
        <f>IF(B153="","",(B157-SUM(B153:B156))+(B159-B157-B158))</f>
        <v>0</v>
      </c>
      <c r="C164" s="25">
        <f>IF(C153="","",(C157-SUM(C153:C156))+(C159-C157-C158))</f>
        <v>0</v>
      </c>
      <c r="D164" s="25">
        <f>IF(D153="","",(D157-SUM(D153:D156))+(D159-D157-D158))</f>
        <v>0</v>
      </c>
      <c r="E164" s="25" t="str">
        <f>IF(E153="","",(E157-SUM(E153:E156))+(E159-E157-E158))</f>
        <v/>
      </c>
      <c r="F164" s="25" t="str">
        <f>IF(F153="","",(F157-SUM(F153:F156))+(F159-F157-F158))</f>
        <v/>
      </c>
      <c r="G164" s="25" t="str">
        <f>IF(G153="","",(G157-SUM(G153:G156))+(G159-G157-G158))</f>
        <v/>
      </c>
      <c r="H164" s="25" t="str">
        <f>IF(H153="","",(H157-SUM(H153:H156))+(H159-H157-H158))</f>
        <v/>
      </c>
      <c r="I164" s="25" t="str">
        <f>IF(I153="","",(I157-SUM(I153:I156))+(I159-I157-I158))</f>
        <v/>
      </c>
      <c r="J164" s="25" t="str">
        <f>IF(J153="","",(J157-SUM(J153:J156))+(J159-J157-J158))</f>
        <v/>
      </c>
      <c r="K164" s="24"/>
      <c r="L164" s="24"/>
      <c r="M164" s="24"/>
    </row>
    <row r="165" spans="1:13" ht="3" customHeight="1" x14ac:dyDescent="0.3"/>
    <row r="166" spans="1:13" x14ac:dyDescent="0.3">
      <c r="A166" s="5" t="s">
        <v>159</v>
      </c>
      <c r="B166" s="5"/>
      <c r="C166" s="5"/>
      <c r="D166" s="5"/>
      <c r="E166" s="5"/>
      <c r="F166" s="5"/>
      <c r="G166" s="5"/>
      <c r="H166" s="5"/>
      <c r="I166" s="5"/>
      <c r="J166" s="5"/>
      <c r="K166" s="5"/>
      <c r="L166" s="5"/>
      <c r="M166" s="5"/>
    </row>
    <row r="167" spans="1:13" x14ac:dyDescent="0.3">
      <c r="A167" s="6" t="s">
        <v>160</v>
      </c>
      <c r="B167" s="7" t="s">
        <v>39</v>
      </c>
      <c r="C167" s="7" t="s">
        <v>40</v>
      </c>
      <c r="D167" s="7" t="s">
        <v>41</v>
      </c>
      <c r="E167" s="7" t="s">
        <v>42</v>
      </c>
      <c r="F167" s="7" t="s">
        <v>43</v>
      </c>
      <c r="G167" s="7" t="s">
        <v>44</v>
      </c>
      <c r="H167" s="7" t="s">
        <v>45</v>
      </c>
      <c r="I167" s="7" t="s">
        <v>46</v>
      </c>
      <c r="J167" s="7" t="s">
        <v>47</v>
      </c>
      <c r="K167" s="7" t="s">
        <v>48</v>
      </c>
      <c r="L167" s="7" t="s">
        <v>49</v>
      </c>
      <c r="M167" s="7" t="s">
        <v>50</v>
      </c>
    </row>
    <row r="168" spans="1:13" x14ac:dyDescent="0.3">
      <c r="A168" s="1" t="s">
        <v>161</v>
      </c>
      <c r="B168" s="21">
        <v>400</v>
      </c>
      <c r="C168" s="21"/>
      <c r="D168" s="21">
        <v>950</v>
      </c>
      <c r="E168" s="21">
        <v>1500</v>
      </c>
      <c r="F168" s="21"/>
      <c r="G168" s="21">
        <v>6000</v>
      </c>
      <c r="H168" s="21">
        <v>11900</v>
      </c>
      <c r="I168" s="22"/>
      <c r="J168" s="22"/>
      <c r="K168" s="22"/>
      <c r="L168" s="22"/>
      <c r="M168" s="22"/>
    </row>
    <row r="169" spans="1:13" x14ac:dyDescent="0.3">
      <c r="A169" s="1" t="s">
        <v>162</v>
      </c>
      <c r="B169" s="21"/>
      <c r="C169" s="21"/>
      <c r="D169" s="21"/>
      <c r="E169" s="21"/>
      <c r="F169" s="21"/>
      <c r="G169" s="21"/>
      <c r="H169" s="21">
        <v>1900</v>
      </c>
      <c r="I169" s="22"/>
      <c r="J169" s="22"/>
      <c r="K169" s="22"/>
      <c r="L169" s="22"/>
      <c r="M169" s="22"/>
    </row>
    <row r="170" spans="1:13" x14ac:dyDescent="0.3">
      <c r="A170" s="1" t="s">
        <v>163</v>
      </c>
      <c r="B170" s="21"/>
      <c r="C170" s="21"/>
      <c r="D170" s="21"/>
      <c r="E170" s="21"/>
      <c r="F170" s="21"/>
      <c r="G170" s="21"/>
      <c r="H170" s="21">
        <v>250</v>
      </c>
      <c r="I170" s="22"/>
      <c r="J170" s="22"/>
      <c r="K170" s="22"/>
      <c r="L170" s="22"/>
      <c r="M170" s="22"/>
    </row>
    <row r="171" spans="1:13" x14ac:dyDescent="0.3">
      <c r="A171" s="1" t="s">
        <v>164</v>
      </c>
      <c r="B171" s="32"/>
      <c r="C171" s="32"/>
      <c r="D171" s="32"/>
      <c r="E171" s="32"/>
      <c r="F171" s="32"/>
      <c r="G171" s="32"/>
      <c r="H171" s="32">
        <v>9</v>
      </c>
      <c r="I171" s="33"/>
      <c r="J171" s="33"/>
      <c r="K171" s="33"/>
      <c r="L171" s="33"/>
      <c r="M171" s="33"/>
    </row>
    <row r="172" spans="1:13" x14ac:dyDescent="0.3">
      <c r="A172" s="1" t="s">
        <v>165</v>
      </c>
      <c r="B172" s="21"/>
      <c r="C172" s="21"/>
      <c r="D172" s="21"/>
      <c r="E172" s="21"/>
      <c r="F172" s="21"/>
      <c r="G172" s="21"/>
      <c r="H172" s="21">
        <v>5300</v>
      </c>
      <c r="I172" s="22"/>
      <c r="J172" s="22"/>
      <c r="K172" s="22"/>
      <c r="L172" s="22"/>
      <c r="M172" s="22"/>
    </row>
    <row r="173" spans="1:13" x14ac:dyDescent="0.3">
      <c r="A173" s="1" t="s">
        <v>166</v>
      </c>
      <c r="B173" s="35"/>
      <c r="C173" s="35"/>
      <c r="D173" s="35">
        <v>1.4</v>
      </c>
      <c r="E173" s="35"/>
      <c r="F173" s="35"/>
      <c r="G173" s="35"/>
      <c r="H173" s="35">
        <v>6.6</v>
      </c>
      <c r="I173" s="36"/>
      <c r="J173" s="36"/>
      <c r="K173" s="36"/>
      <c r="L173" s="36"/>
      <c r="M173" s="36"/>
    </row>
    <row r="174" spans="1:13" x14ac:dyDescent="0.3">
      <c r="A174" s="24" t="s">
        <v>167</v>
      </c>
      <c r="B174" s="37" t="str">
        <f>IF(OR(B172="",B173=""),"",B172*B173)</f>
        <v/>
      </c>
      <c r="C174" s="37" t="str">
        <f>IF(OR(C172="",C173=""),"",C172*C173)</f>
        <v/>
      </c>
      <c r="D174" s="37" t="str">
        <f>IF(OR(D172="",D173=""),"",D172*D173)</f>
        <v/>
      </c>
      <c r="E174" s="37" t="str">
        <f>IF(OR(E172="",E173=""),"",E172*E173)</f>
        <v/>
      </c>
      <c r="F174" s="37" t="str">
        <f>IF(OR(F172="",F173=""),"",F172*F173)</f>
        <v/>
      </c>
      <c r="G174" s="37" t="str">
        <f>IF(OR(G172="",G173=""),"",G172*G173)</f>
        <v/>
      </c>
      <c r="H174" s="37">
        <f>IF(OR(H172="",H173=""),"",H172*H173)</f>
        <v>34980</v>
      </c>
      <c r="I174" s="37" t="str">
        <f>IF(OR(I172="",I173=""),"",I172*I173)</f>
        <v/>
      </c>
      <c r="J174" s="37" t="str">
        <f>IF(OR(J172="",J173=""),"",J172*J173)</f>
        <v/>
      </c>
      <c r="K174" s="37" t="str">
        <f>IF(OR(K172="",K173=""),"",K172*K173)</f>
        <v/>
      </c>
      <c r="L174" s="37" t="str">
        <f>IF(OR(L172="",L173=""),"",L172*L173)</f>
        <v/>
      </c>
      <c r="M174" s="37" t="str">
        <f>IF(OR(M172="",M173=""),"",M172*M173)</f>
        <v/>
      </c>
    </row>
    <row r="175" spans="1:13" ht="3" customHeight="1" x14ac:dyDescent="0.3"/>
    <row r="176" spans="1:13" x14ac:dyDescent="0.3">
      <c r="A176" s="5" t="s">
        <v>168</v>
      </c>
      <c r="B176" s="5"/>
      <c r="C176" s="5"/>
      <c r="D176" s="5"/>
      <c r="E176" s="5"/>
      <c r="F176" s="5"/>
      <c r="G176" s="5"/>
      <c r="H176" s="5"/>
      <c r="I176" s="5"/>
      <c r="J176" s="5"/>
      <c r="K176" s="5"/>
      <c r="L176" s="5"/>
      <c r="M176" s="5"/>
    </row>
    <row r="177" spans="1:5" x14ac:dyDescent="0.3">
      <c r="A177" s="6" t="s">
        <v>169</v>
      </c>
      <c r="B177" s="7" t="s">
        <v>170</v>
      </c>
      <c r="C177" s="7" t="s">
        <v>171</v>
      </c>
      <c r="D177" s="7" t="s">
        <v>172</v>
      </c>
      <c r="E177" s="7"/>
    </row>
    <row r="178" spans="1:5" x14ac:dyDescent="0.3">
      <c r="A178" s="1" t="s">
        <v>173</v>
      </c>
      <c r="B178" s="38">
        <v>589.0095</v>
      </c>
      <c r="C178" s="39">
        <v>77637.877999999997</v>
      </c>
      <c r="D178" s="8">
        <v>45729.4</v>
      </c>
    </row>
    <row r="179" spans="1:5" x14ac:dyDescent="0.3">
      <c r="A179" s="1" t="s">
        <v>174</v>
      </c>
      <c r="B179" s="38">
        <v>259.13639999999998</v>
      </c>
      <c r="C179" s="39">
        <v>90510.425000000003</v>
      </c>
      <c r="D179" s="8">
        <v>23454.5</v>
      </c>
    </row>
    <row r="181" spans="1:5" x14ac:dyDescent="0.3">
      <c r="A181" s="183" t="s">
        <v>932</v>
      </c>
    </row>
  </sheetData>
  <sheetProtection algorithmName="SHA-512" hashValue="FHqWwcg2butc+LxNa7Qd+z/LHDg7kda8rr83wAUjtlY9xMxNAAusC007zYI27nq9vbvjh82b2T4U5UTVeNrCKw==" saltValue="Zmco+dQ7xJ0iNSi8ftvtng==" spinCount="100000" sheet="1" objects="1" scenarios="1" sort="0" autoFilter="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Exec Summary</vt:lpstr>
      <vt:lpstr>Dashboard</vt:lpstr>
      <vt:lpstr>Graphs</vt:lpstr>
      <vt:lpstr>DCF Base</vt:lpstr>
      <vt:lpstr>DCF Bear</vt:lpstr>
      <vt:lpstr>DCF Bull</vt:lpstr>
      <vt:lpstr>Drivers</vt:lpstr>
      <vt:lpstr>WACC</vt:lpstr>
      <vt:lpstr>Commitments</vt:lpstr>
      <vt:lpstr>Ratios</vt:lpstr>
      <vt:lpstr>Comps</vt:lpstr>
      <vt:lpstr>Actuals</vt:lpstr>
      <vt:lpstr>Historicals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Rifat Tahmid</dc:creator>
  <cp:lastModifiedBy>Rifat Tahmid</cp:lastModifiedBy>
  <dcterms:created xsi:type="dcterms:W3CDTF">2026-10-26T14:50:50Z</dcterms:created>
  <dcterms:modified xsi:type="dcterms:W3CDTF">2026-10-28T13:05:19Z</dcterms:modified>
</cp:coreProperties>
</file>